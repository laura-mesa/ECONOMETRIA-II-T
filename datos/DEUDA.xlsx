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aledu-my.sharepoint.com/personal/lamesac_unal_edu_co/Documents/Universidad/9no sem/Econometria II/Repositorio/ECONOMETRIA-II-T/datos/"/>
    </mc:Choice>
  </mc:AlternateContent>
  <xr:revisionPtr revIDLastSave="0" documentId="8_{DD5EAFD1-243F-4F44-8466-7972215AA1EB}" xr6:coauthVersionLast="47" xr6:coauthVersionMax="47" xr10:uidLastSave="{00000000-0000-0000-0000-000000000000}"/>
  <bookViews>
    <workbookView xWindow="-110" yWindow="-110" windowWidth="19420" windowHeight="10300" xr2:uid="{09EE38C5-3535-4F5A-8083-037BF0BD1108}"/>
  </bookViews>
  <sheets>
    <sheet name="Saldos" sheetId="1" r:id="rId1"/>
  </sheets>
  <externalReferences>
    <externalReference r:id="rId2"/>
  </externalReferences>
  <definedNames>
    <definedName name="_xlnm._FilterDatabase" localSheetId="0" hidden="1">Saldos!$A$1:$I$220</definedName>
    <definedName name="_xlnm.Print_Area" localSheetId="0">Saldos!$A:$I</definedName>
    <definedName name="Cambio_billones">[1]Title!$B$163</definedName>
    <definedName name="Fuente_Interna_Corte_a">OFFSET('[1]Fuente - interna'!$A$54,0,0,COUNT('[1]Fuente - interna'!$A:$A))</definedName>
    <definedName name="Fuente_Interna_Serie_1">OFFSET('[1]Fuente - interna'!$B$54,0,0,COUNT('[1]Fuente - interna'!$A:$A))</definedName>
    <definedName name="Fuente_Interna_Serie_2">OFFSET('[1]Fuente - interna'!$C$54,0,0,COUNT('[1]Fuente - interna'!$A:$A))</definedName>
    <definedName name="Fuente_Interna_Serie_3">OFFSET('[1]Fuente - interna'!$D$54,0,0,COUNT('[1]Fuente - interna'!$A:$A))</definedName>
    <definedName name="Fuente_Interna_Serie_4">OFFSET('[1]Fuente - interna'!$E$54,0,0,COUNT('[1]Fuente - interna'!$A:$A))</definedName>
    <definedName name="Fuente_Interna_Serie_5">OFFSET('[1]Fuente - interna'!$F$54,0,0,COUNT('[1]Fuente - interna'!$A:$A))</definedName>
    <definedName name="Fuente_Interna_Serie_6">OFFSET('[1]Fuente - interna'!$G$54,0,0,COUNT('[1]Fuente - interna'!$A:$A))</definedName>
    <definedName name="Fuente_Interna_Serie_7">OFFSET('[1]Fuente - interna'!$H$54,0,0,COUNT('[1]Fuente - interna'!$A:$A))</definedName>
    <definedName name="Fuente_Interna_Serie_8">OFFSET('[1]Fuente - interna'!$J$54,0,0,COUNT('[1]Fuente - interna'!$A:$A))</definedName>
    <definedName name="Fuente_internaColumna_título_etiqueta">[1]Title!$B$67</definedName>
    <definedName name="Fuente_internaColumna_título_etiqueta_2">[1]Title!$B$68</definedName>
    <definedName name="Fuente_internaColumna_título_etiqueta_3">[1]Title!$B$69</definedName>
    <definedName name="Fuente_internaColumna_título_etiqueta_4">[1]Title!$B$70</definedName>
    <definedName name="Fuente_internaColumna_título_etiqueta_5">[1]Title!$B$71</definedName>
    <definedName name="Fuente_internaColumna_título_etiqueta_6">[1]Title!$B$72</definedName>
    <definedName name="Fuente_internaColumna_título_etiqueta_7">[1]Title!$B$73</definedName>
    <definedName name="Fuente_internaColumna_título_etiqueta_8">[1]Title!$B$74</definedName>
    <definedName name="Fuente_internaColumna_título_etiqueta_9">[1]Title!$B$75</definedName>
    <definedName name="Fuente_internaSección_subtítulo_etiqueta">[1]Title!$B$66</definedName>
    <definedName name="Fuente_internaSección_título_etiqueta">[1]Title!$B$65</definedName>
    <definedName name="Fuente_total_Corte_a">OFFSET('[1]Fuente - total'!$A$54,0,0,COUNT('[1]Fuente - total'!$A:$A))</definedName>
    <definedName name="Fuente_Total_Serie_1">OFFSET('[1]Fuente - total'!$B$54,0,0,COUNT('[1]Fuente - total'!$A:$A))</definedName>
    <definedName name="Fuente_Total_Serie_10">OFFSET('[1]Fuente - total'!$L$54,0,0,COUNT('[1]Fuente - total'!$A:$A))</definedName>
    <definedName name="Fuente_Total_Serie_11">OFFSET('[1]Fuente - total'!$K$54,0,0,COUNT('[1]Fuente - total'!$A:$A))</definedName>
    <definedName name="Fuente_Total_Serie_12">OFFSET('[1]Fuente - total'!$N$54,0,0,COUNT('[1]Fuente - total'!$A:$A))</definedName>
    <definedName name="Fuente_total_Serie_13">OFFSET('[1]Fuente - total'!$O$54,0,0,COUNT('[1]Fuente - total'!$A:$A))</definedName>
    <definedName name="Fuente_total_Serie_14">OFFSET(#REF!,0,0,COUNT('[1]Fuente - total'!$A:$A))</definedName>
    <definedName name="Fuente_Total_Serie_2">OFFSET('[1]Fuente - total'!$C$54,0,0,COUNT('[1]Fuente - total'!$A:$A))</definedName>
    <definedName name="Fuente_Total_Serie_3">OFFSET('[1]Fuente - total'!$D$54,0,0,COUNT('[1]Fuente - total'!$A:$A))</definedName>
    <definedName name="Fuente_Total_Serie_4">OFFSET('[1]Fuente - total'!$I$54,0,0,COUNT('[1]Fuente - total'!$A:$A))</definedName>
    <definedName name="Fuente_Total_Serie_5">OFFSET('[1]Fuente - total'!$E$54,0,0,COUNT('[1]Fuente - total'!$A:$A))</definedName>
    <definedName name="Fuente_Total_Serie_6">OFFSET('[1]Fuente - total'!$G$54,0,0,COUNT('[1]Fuente - total'!$A:$A))</definedName>
    <definedName name="Fuente_Total_Serie_7">OFFSET('[1]Fuente - total'!$H$54,0,0,COUNT('[1]Fuente - total'!$A:$A))</definedName>
    <definedName name="Fuente_Total_Serie_8">OFFSET('[1]Fuente - total'!$F$54,0,0,COUNT('[1]Fuente - total'!$A:$A))</definedName>
    <definedName name="Fuente_Total_Serie_9">OFFSET('[1]Fuente - total'!$J$54,0,0,COUNT('[1]Fuente - total'!$A:$A))</definedName>
    <definedName name="Fuente_totalColumna_título_etiqueta">[1]Title!$B$78</definedName>
    <definedName name="Fuente_totalColumna_título_etiqueta_10">[1]Title!$B$87</definedName>
    <definedName name="Fuente_totalColumna_título_etiqueta_11">[1]Title!$B$88</definedName>
    <definedName name="Fuente_totalColumna_título_etiqueta_12">[1]Title!$B$89</definedName>
    <definedName name="Fuente_totalColumna_título_etiqueta_13">[1]Title!$B$90</definedName>
    <definedName name="Fuente_totalColumna_título_etiqueta_2">[1]Title!$B$79</definedName>
    <definedName name="Fuente_totalColumna_título_etiqueta_3">[1]Title!$B$80</definedName>
    <definedName name="Fuente_totalColumna_título_etiqueta_4">[1]Title!$B$81</definedName>
    <definedName name="Fuente_totalColumna_título_etiqueta_5">[1]Title!$B$82</definedName>
    <definedName name="Fuente_totalColumna_título_etiqueta_6">[1]Title!$B$83</definedName>
    <definedName name="Fuente_totalColumna_título_etiqueta_7">[1]Title!$B$84</definedName>
    <definedName name="Fuente_totalColumna_título_etiqueta_8">[1]Title!$B$85</definedName>
    <definedName name="Fuente_totalColumna_título_etiqueta_9">[1]Title!$B$86</definedName>
    <definedName name="Fuente_totalSección_subtítulo_etiqueta">[1]Title!$B$77</definedName>
    <definedName name="Fuente_totalSección_título_etiqueta">[1]Title!$B$76</definedName>
    <definedName name="Indicadores_Corte_a">OFFSET([1]Indicadores!$A$54,0,0,COUNT([1]Indicadores!$A:$A))</definedName>
    <definedName name="Indicadores_Serie_1">OFFSET([1]Indicadores!$B$54,0,0,COUNT([1]Indicadores!$A:$A))</definedName>
    <definedName name="Indicadores_Serie_2">OFFSET([1]Indicadores!$C$54,0,0,COUNT([1]Indicadores!$A:$A))</definedName>
    <definedName name="Indicadores_Serie_3">OFFSET([1]Indicadores!$D$54,0,0,COUNT([1]Indicadores!$A:$A))</definedName>
    <definedName name="Indicadores_Serie_4">OFFSET([1]Indicadores!$E$54,0,0,COUNT([1]Indicadores!$A:$A))</definedName>
    <definedName name="Indicadores_Serie_5">OFFSET([1]Indicadores!$F$54,0,0,COUNT([1]Indicadores!$A:$A))</definedName>
    <definedName name="Indicadores_Serie_6">OFFSET([1]Indicadores!$G$54,0,0,COUNT([1]Indicadores!$A:$A))</definedName>
    <definedName name="Indicadores_Serie_7">OFFSET([1]Indicadores!$H$54,0,0,COUNT([1]Indicadores!$A:$A))</definedName>
    <definedName name="Indicadores_Serie_8">OFFSET([1]Indicadores!$I$54,0,0,COUNT([1]Indicadores!$A:$A))</definedName>
    <definedName name="IndicadoresColumna_título_etiqueta">[1]Title!$B$151</definedName>
    <definedName name="IndicadoresColumna_título_etiqueta_2">[1]Title!$B$152</definedName>
    <definedName name="IndicadoresColumna_título_etiqueta_3">[1]Title!$B$153</definedName>
    <definedName name="IndicadoresColumna_título_etiqueta_4">[1]Title!$B$154</definedName>
    <definedName name="IndicadoresColumna_título_etiqueta_5">[1]Title!$B$155</definedName>
    <definedName name="IndicadoresSección_subtítulo_etiqueta">[1]Title!$B$146</definedName>
    <definedName name="IndicadoresSección_subtítulo_etiqueta_2">[1]Title!$B$148</definedName>
    <definedName name="IndicadoresSección_subtítulo_etiqueta_3">[1]Title!$B$150</definedName>
    <definedName name="IndicadoresSección_título_etiqueta">[1]Title!$B$145</definedName>
    <definedName name="IndicadoresSección_título_etiqueta_2">[1]Title!$B$147</definedName>
    <definedName name="IndicadoresSección_título_etiqueta_3">[1]Title!$B$149</definedName>
    <definedName name="Indice_Principal_Título">[1]Title!$B$4</definedName>
    <definedName name="Indice_PrincipalCategory_etiqueta">[1]Title!$B$19</definedName>
    <definedName name="Indice_PrincipalContenido_etiqueta">[1]Title!$B$7</definedName>
    <definedName name="Indice_PrincipalContenido_texto">[1]Title!$B$8</definedName>
    <definedName name="Indice_PrincipalCuadro_texto_fuentes">[1]Title!$B$48</definedName>
    <definedName name="Indice_PrincipalCuadro_texto_indicadores">[1]Title!$B$51</definedName>
    <definedName name="Indice_PrincipalCuadro_texto_moneda">[1]Title!$B$49</definedName>
    <definedName name="Indice_PrincipalCuadro_texto_saldos">[1]Title!$B$47</definedName>
    <definedName name="Indice_PrincipalCuadro_texto_servicio">[1]Title!$B$50</definedName>
    <definedName name="Indice_PrincipalCuadro_texto_tasas">[1]Title!$B$52</definedName>
    <definedName name="Indice_PrincipalDatos_y_enlaces_etiqueta">[1]Title!$B$20</definedName>
    <definedName name="Indice_PrincipalDescripción_etiqueta">[1]Title!$B$21</definedName>
    <definedName name="Indice_PrincipalFecha_corte_etiqueta">[1]Title!$B$17</definedName>
    <definedName name="Indice_PrincipalFecha_corte_texto">[1]Title!$B$18</definedName>
    <definedName name="Indice_PrincipalFecha_de_revisión_etiqueta">[1]Title!$B$15</definedName>
    <definedName name="Indice_PrincipalFecha_de_revision_texto">[1]Title!$B$16</definedName>
    <definedName name="Indice_PrincipalFrecuencia_de_publicación_etiqueta">[1]Title!$B$5</definedName>
    <definedName name="Indice_PrincipalFrecuencia_de_publicación_texto">[1]Title!$B$6</definedName>
    <definedName name="Indice_PrincipalFuentes_de_deuda__etiqueta">[1]Title!$B$24</definedName>
    <definedName name="Indice_PrincipalFuentes_de_deuda_externa_texto">[1]Title!$B$26</definedName>
    <definedName name="Indice_PrincipalFuentes_de_deuda_Interna_texto">[1]Title!$B$25</definedName>
    <definedName name="Indice_PrincipalFuentes_de_deuda_total_texto_2">[1]Title!$B$27</definedName>
    <definedName name="Indice_PrincipalFuentes_etiqueta">[1]Title!$B$9</definedName>
    <definedName name="Indice_PrincipalFuentes_texto">[1]Title!$B$10</definedName>
    <definedName name="Indice_PrincipalFuentes_texto_3">[1]Title!$B$12</definedName>
    <definedName name="Indice_PrincipalIndicadores_etiqueta">[1]Title!$B$40</definedName>
    <definedName name="Indice_PrincipalIndicadores_texto">[1]Title!$B$41</definedName>
    <definedName name="Indice_PrincipalInicio">[1]Title!$B$3</definedName>
    <definedName name="Indice_PrincipalLeyenda_etiqueta">[1]Title!$B$42</definedName>
    <definedName name="Indice_PrincipalLeyenda_texto">[1]Title!$B$43</definedName>
    <definedName name="Indice_PrincipalLeyenda_texto_2">[1]Title!$B$44</definedName>
    <definedName name="Indice_PrincipalLeyenda_texto_3">[1]Title!$B$45</definedName>
    <definedName name="Indice_PrincipalLeyenda_texto_4">[1]Title!$B$46</definedName>
    <definedName name="Indice_PrincipalMoneda_de_deuda_etiqueta">[1]Title!$B$32</definedName>
    <definedName name="Indice_PrincipalMoneda_de_deuda_texto">[1]Title!$B$33</definedName>
    <definedName name="Indice_PrincipalMoneda_de_deuda_texto_2">[1]Title!$B$34</definedName>
    <definedName name="Indice_PrincipalMoneda_de_deuda_texto_3">[1]Title!$B$35</definedName>
    <definedName name="Indice_PrincipalSaldos_de_deuda_etiqueta">[1]Title!$B$22</definedName>
    <definedName name="Indice_PrincipalSaldos_de_deuda_texto">[1]Title!$B$23</definedName>
    <definedName name="Indice_PrincipalServicio_de_deuda_texto">[1]Title!$B$37</definedName>
    <definedName name="Indice_PrincipalServicio_de_deuda_texto_2">[1]Title!$B$38</definedName>
    <definedName name="Indice_PrincipalServicio_de_deuda_texto_3">[1]Title!$B$39</definedName>
    <definedName name="Indice_PrincipalTasas_de_deuda_etiqueta">[1]Title!$B$28</definedName>
    <definedName name="Indice_PrincipalTasas_de_deuda_texto">[1]Title!$B$29</definedName>
    <definedName name="Indice_PrincipalTasas_de_deuda_texto_2">[1]Title!$B$30</definedName>
    <definedName name="Indice_PrincipalTasas_de_deuda_texto_3">[1]Title!$B$31</definedName>
    <definedName name="Indice_PrincipalUbicación_etiqueta">[1]Title!$B$13</definedName>
    <definedName name="Indice_PrincipalUbicación_texto">[1]Title!$B$14</definedName>
    <definedName name="Moneda_externa_Corte_a">OFFSET('[1]Moneda - externa'!$A$54,0,0,COUNT('[1]Moneda - externa'!$A:$A))</definedName>
    <definedName name="Moneda_externa_Serie_1">OFFSET('[1]Moneda - externa'!$B$54,0,0,COUNT('[1]Moneda - externa'!$A:$A))</definedName>
    <definedName name="Moneda_externa_Serie_2">OFFSET('[1]Moneda - externa'!$C$54,0,0,COUNT('[1]Moneda - externa'!$A:$A))</definedName>
    <definedName name="Moneda_externa_Serie_3">OFFSET('[1]Moneda - externa'!$D$54,0,0,COUNT('[1]Moneda - externa'!$A:$A))</definedName>
    <definedName name="Moneda_externa_Serie_4">OFFSET('[1]Moneda - externa'!$E$54,0,0,COUNT('[1]Moneda - externa'!$A:$A))</definedName>
    <definedName name="Moneda_externa_Serie_5">OFFSET('[1]Moneda - externa'!$F$54,0,0,COUNT('[1]Moneda - externa'!$A:$A))</definedName>
    <definedName name="Moneda_externaColumna_título_etiqueta">[1]Title!$B$120</definedName>
    <definedName name="Moneda_externaColumna_título_etiqueta_2">[1]Title!$B$121</definedName>
    <definedName name="Moneda_externaColumna_título_etiqueta_3">[1]Title!$B$122</definedName>
    <definedName name="Moneda_externaColumna_título_etiqueta_4">[1]Title!$B$123</definedName>
    <definedName name="Moneda_externaColumna_título_etiqueta_5">[1]Title!$B$124</definedName>
    <definedName name="Moneda_externaColumna_título_etiqueta_6">[1]Title!$B$125</definedName>
    <definedName name="Moneda_externaSección_subtítulo_etiqueta">[1]Title!$B$119</definedName>
    <definedName name="Moneda_externaSección_título_etiqueta">[1]Title!$B$118</definedName>
    <definedName name="Moneda_interna_Corte_a">OFFSET('[1]Moneda - interna'!$A$53,0,0,COUNT('[1]Moneda - interna'!$A:$A))</definedName>
    <definedName name="Moneda_interna_Serie_1">OFFSET('[1]Moneda - interna'!$B$53,0,0,COUNT('[1]Moneda - interna'!$A:$A))</definedName>
    <definedName name="Moneda_interna_Serie_2">OFFSET('[1]Moneda - interna'!$C$53,0,0,COUNT('[1]Moneda - interna'!$A:$A))</definedName>
    <definedName name="Moneda_interna_Serie_3">OFFSET('[1]Moneda - interna'!$D$53,0,0,COUNT('[1]Moneda - interna'!$A:$A))</definedName>
    <definedName name="Moneda_interna_serie_4">OFFSET('[1]Moneda - interna'!$E$53,0,0,COUNT('[1]Moneda - interna'!$A:$A))</definedName>
    <definedName name="Moneda_internaColumna_título_etiqueta">[1]Title!$B$113</definedName>
    <definedName name="Moneda_internaColumna_título_etiqueta_2">[1]Title!$B$114</definedName>
    <definedName name="Moneda_internaColumna_título_etiqueta_3">[1]Title!$B$115</definedName>
    <definedName name="Moneda_internaColumna_título_etiqueta_4">[1]Title!$B$116</definedName>
    <definedName name="Moneda_internaColumna_título_etiqueta_5">[1]Title!$B$117</definedName>
    <definedName name="Moneda_internaSección_subtítulo_etiqueta">[1]Title!$B$112</definedName>
    <definedName name="Moneda_internaSección_título_etiqueta">[1]Title!$B$111</definedName>
    <definedName name="Moneda_total_Corte_a">OFFSET('[1]Moneda - total'!$A$52,0,0,COUNT('[1]Moneda - total'!$A:$A))</definedName>
    <definedName name="Moneda_total_Serie_1">OFFSET('[1]Moneda - total'!$B$52,0,0,COUNT('[1]Moneda - total'!$A:$A))</definedName>
    <definedName name="Moneda_total_Serie_2">OFFSET('[1]Moneda - total'!$C$52,0,0,COUNT('[1]Moneda - total'!$A:$A))</definedName>
    <definedName name="Moneda_total_Serie_3">OFFSET('[1]Moneda - total'!$D$52,0,0,COUNT('[1]Moneda - total'!$A:$A))</definedName>
    <definedName name="Moneda_total_Serie_4">OFFSET('[1]Moneda - total'!$E$52,0,0,COUNT('[1]Moneda - total'!$A:$A))</definedName>
    <definedName name="Moneda_total_Serie_5">OFFSET('[1]Moneda - total'!$F$52,0,0,COUNT('[1]Moneda - total'!$A:$A))</definedName>
    <definedName name="Moneda_totalColumna_título_etiqueta">[1]Title!$B$128</definedName>
    <definedName name="Moneda_totalColumna_título_etiqueta_2">[1]Title!$B$129</definedName>
    <definedName name="Moneda_totalColumna_título_etiqueta_3">[1]Title!$B$130</definedName>
    <definedName name="Moneda_totalColumna_título_etiqueta_4">[1]Title!$B$131</definedName>
    <definedName name="Moneda_totalColumna_título_etiqueta_5">[1]Title!$B$132</definedName>
    <definedName name="Moneda_totalColumna_título_etiqueta_6">[1]Title!$B$133</definedName>
    <definedName name="Moneda_totalColumna_título_etiqueta_7">[1]Title!$B$134</definedName>
    <definedName name="Moneda_totalSección_subtítulo_etiqueta">[1]Title!$B$127</definedName>
    <definedName name="Moneda_totalSección_título_etiqueta">[1]Title!$B$126</definedName>
    <definedName name="SaldosColumna_título_etiqueta">[1]Title!$B$60</definedName>
    <definedName name="SaldosColumna_título_etiqueta_2">[1]Title!$B$61</definedName>
    <definedName name="SaldosColumna_título_etiqueta_3">[1]Title!$B$62</definedName>
    <definedName name="SaldosSección_fecha_etiqueta">[1]Title!$B$53</definedName>
    <definedName name="SaldosSección_subtítulo_etiqueta">[1]Title!$B$55</definedName>
    <definedName name="SaldosSección_subtítulo_etiqueta_2">[1]Title!$B$57</definedName>
    <definedName name="SaldosSección_subtítulo_etiqueta_3">[1]Title!$B$59</definedName>
    <definedName name="SaldosSección_título_etiqueta">[1]Title!$B$54</definedName>
    <definedName name="SaldosSección_título_etiqueta_2">[1]Title!$B$56</definedName>
    <definedName name="SaldosSección_título_etiqueta_3">[1]Title!$B$58</definedName>
    <definedName name="SaldoTotal_GraficaTitulo">[1]Title!$B$164</definedName>
    <definedName name="Servicio_deuda_externa_amortizaciones">OFFSET('[1]Gráfica servicio deuda externa'!$B$39,0,0,COUNT('[1]Gráfica servicio deuda externa'!$B$39:$B$72))</definedName>
    <definedName name="Servicio_deuda_externa_año">OFFSET('[1]Gráfica servicio deuda externa'!$A$39,0,0,COUNT('[1]Gráfica servicio deuda externa'!$A$39:$A$72))</definedName>
    <definedName name="Servicio_deuda_externa_intereses">OFFSET('[1]Gráfica servicio deuda externa'!$C$39,0,0,COUNT('[1]Gráfica servicio deuda externa'!$C$39:$C$72))</definedName>
    <definedName name="Servicio_deuda_externa_total">OFFSET('[1]Gráfica servicio deuda externa'!$D$39,0,0,COUNT('[1]Gráfica servicio deuda externa'!$D$39:$D$72))</definedName>
    <definedName name="Servicio_deuda_interna_amortizaciones">OFFSET('[1]Gráfica servicio deuda interna'!$B$39,0,0,COUNT('[1]Gráfica servicio deuda interna'!$B$39:$B$72))</definedName>
    <definedName name="Servicio_deuda_interna_año">OFFSET('[1]Gráfica servicio deuda interna'!$A$39,0,0,COUNT('[1]Gráfica servicio deuda interna'!$A$39:$A$72))</definedName>
    <definedName name="Servicio_deuda_interna_intereses">OFFSET('[1]Gráfica servicio deuda interna'!$C$39,0,0,COUNT('[1]Gráfica servicio deuda interna'!$C$39:$C$72))</definedName>
    <definedName name="Servicio_deuda_interna_total">OFFSET('[1]Gráfica servicio deuda interna'!$D$39,0,0,COUNT('[1]Gráfica servicio deuda interna'!$D$39:$D$72))</definedName>
    <definedName name="Servicio_deuda_total_amortizaciones">OFFSET('[1]Gráfica servicio deuda total'!$B$39,0,0,COUNT('[1]Gráfica servicio deuda total'!$B$39:$B$72))</definedName>
    <definedName name="Servicio_deuda_total_año">OFFSET('[1]Gráfica servicio deuda total'!$A$39,0,0,COUNT('[1]Gráfica servicio deuda total'!$A$39:$A$72))</definedName>
    <definedName name="Servicio_deuda_total_intereses">OFFSET('[1]Gráfica servicio deuda total'!$C$39,0,0,COUNT('[1]Gráfica servicio deuda total'!$C$39:$C$72))</definedName>
    <definedName name="Servicio_deuda_total_total">OFFSET('[1]Gráfica servicio deuda total'!$D$39,0,0,COUNT('[1]Gráfica servicio deuda total'!$D$39:$D$72))</definedName>
    <definedName name="Servicio_externaSección_subtítulo_etiqueta">[1]Title!$B$142</definedName>
    <definedName name="Servicio_externaSección_título_etiqueta">[1]Title!$B$141</definedName>
    <definedName name="Servicio_internaColumna_título_amortizaciones">[1]Title!$B$138</definedName>
    <definedName name="Servicio_internaColumna_título_intereses">[1]Title!$B$139</definedName>
    <definedName name="Servicio_internaColumna_título_total">[1]Title!$B$140</definedName>
    <definedName name="Servicio_internaFechas_etiqueta">[1]Title!$B$137</definedName>
    <definedName name="Servicio_internaSección_subtítulo_etiqueta">[1]Title!$B$136</definedName>
    <definedName name="Servicio_internaSección_título_etiqueta">[1]Title!$B$135</definedName>
    <definedName name="Servicio_totalSección_subtítulo_etiqueta">[1]Title!$B$144</definedName>
    <definedName name="Servicio_totalSección_título_etiqueta">[1]Title!$B$143</definedName>
    <definedName name="Tasa_externa_Corte_a">OFFSET('[1]Tasa - externa'!$A$23,0,0,COUNT('[1]Tasa - externa'!$A:$A))</definedName>
    <definedName name="Tasa_externa_Serie_1">OFFSET('[1]Tasa - externa'!$B$23,0,0,COUNT('[1]Tasa - externa'!$A:$A))</definedName>
    <definedName name="Tasa_externa_Serie_2">OFFSET('[1]Tasa - externa'!$C$23,0,0,COUNT('[1]Tasa - externa'!$A:$A))</definedName>
    <definedName name="Tasa_externaColumna_título_etiqueta">[1]Title!$B$105</definedName>
    <definedName name="Tasa_externaColumna_título_etiqueta_2">[1]Title!$B$106</definedName>
    <definedName name="Tasa_externaSección_subtítulo_etiqueta">[1]Title!$B$104</definedName>
    <definedName name="Tasa_externaSección_título_etiqueta">[1]Title!$B$103</definedName>
    <definedName name="Tasa_interna_Corte_a">OFFSET('[1]Tasa - interna'!$A$53,0,0,COUNT('[1]Tasa - interna'!$A:$A))</definedName>
    <definedName name="Tasa_interna_Serie_1">OFFSET('[1]Tasa - interna'!$B$53,0,0,COUNT('[1]Tasa - interna'!$A:$A))</definedName>
    <definedName name="Tasa_interna_Serie_2">OFFSET('[1]Tasa - interna'!$D$53,0,0,COUNT('[1]Tasa - interna'!$A:$A))</definedName>
    <definedName name="Tasa_interna_Serie_3">OFFSET('[1]Tasa - interna'!$C$53,0,0,COUNT('[1]Tasa - interna'!$A:$A))</definedName>
    <definedName name="Tasa_interna_Serie_4">OFFSET('[1]Tasa - interna'!$E$53,0,0,COUNT('[1]Tasa - interna'!$A:$A))</definedName>
    <definedName name="Tasa_interna_Serie_5">OFFSET('[1]Tasa - interna'!$F$53,0,0,COUNT('[1]Tasa - interna'!$A:$A))</definedName>
    <definedName name="Tasa_interna_Serie_6">OFFSET('[1]Tasa - interna'!$G$53,0,0,COUNT('[1]Tasa - interna'!$A:$A))</definedName>
    <definedName name="Tasa_interna_serie_7">OFFSET('[1]Tasa - interna'!$H$53,0,0,COUNT('[1]Tasa - interna'!$A:$A))</definedName>
    <definedName name="Tasa_internaColumna_título_etiqueta">[1]Title!$B$95</definedName>
    <definedName name="Tasa_internaColumna_título_etiqueta_2">[1]Title!$B$96</definedName>
    <definedName name="Tasa_internaColumna_título_etiqueta_3">[1]Title!$B$97</definedName>
    <definedName name="Tasa_internaColumna_título_etiqueta_4">[1]Title!$B$98</definedName>
    <definedName name="Tasa_internaColumna_título_etiqueta_5">[1]Title!$B$99</definedName>
    <definedName name="Tasa_internaColumna_título_etiqueta_6">[1]Title!$B$100</definedName>
    <definedName name="Tasa_internaColumna_título_etiqueta_7">[1]Title!$B$101</definedName>
    <definedName name="Tasa_internaColumna_título_etiqueta_8">[1]Title!$B$102</definedName>
    <definedName name="Tasa_internaSección_subtítulo_etiqueta">[1]Title!$B$94</definedName>
    <definedName name="Tasa_internaSección_título_etiqueta">[1]Title!$B$93</definedName>
    <definedName name="Tasa_total_Corte_a">OFFSET('[1]Tasa - total'!$A$23,0,0,COUNT('[1]Tasa - total'!$A:$A))</definedName>
    <definedName name="Tasa_total_Serie_1">OFFSET('[1]Tasa - total'!$B$23,0,0,COUNT('[1]Tasa - total'!$A:$A))</definedName>
    <definedName name="Tasa_total_Serie_2">OFFSET('[1]Tasa - total'!$C$23,0,0,COUNT('[1]Tasa - total'!$A:$A))</definedName>
    <definedName name="Tasa_totalColumna_título_etiqueta">[1]Title!$B$109</definedName>
    <definedName name="Tasa_totalColumna_título_etiqueta_2">[1]Title!$B$110</definedName>
    <definedName name="Tasa_totalSección_subtítulo_etiqueta">[1]Title!$B$108</definedName>
    <definedName name="Tasa_totalSección_título_etiqueta">[1]Title!$B$107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1" l="1"/>
  <c r="H3" i="1"/>
  <c r="G3" i="1"/>
  <c r="F3" i="1"/>
  <c r="E3" i="1"/>
  <c r="D3" i="1"/>
  <c r="C3" i="1"/>
  <c r="B3" i="1"/>
  <c r="A3" i="1"/>
  <c r="H2" i="1"/>
  <c r="E2" i="1"/>
  <c r="B2" i="1"/>
  <c r="H1" i="1"/>
  <c r="E1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[$-409]mmm\-yy;@"/>
  </numFmts>
  <fonts count="9" x14ac:knownFonts="1">
    <font>
      <sz val="10"/>
      <name val="Arial"/>
      <family val="2"/>
    </font>
    <font>
      <sz val="10"/>
      <name val="Arial"/>
      <family val="2"/>
    </font>
    <font>
      <sz val="10"/>
      <name val="Verdana"/>
      <family val="2"/>
    </font>
    <font>
      <sz val="10"/>
      <color theme="0"/>
      <name val="Verdana"/>
      <family val="2"/>
    </font>
    <font>
      <sz val="11"/>
      <name val="Verdana"/>
      <family val="2"/>
    </font>
    <font>
      <b/>
      <sz val="11"/>
      <color indexed="9"/>
      <name val="Verdana"/>
      <family val="2"/>
    </font>
    <font>
      <b/>
      <sz val="11"/>
      <name val="Verdana"/>
      <family val="2"/>
    </font>
    <font>
      <b/>
      <sz val="11"/>
      <color theme="0"/>
      <name val="Verdana"/>
      <family val="2"/>
    </font>
    <font>
      <b/>
      <sz val="1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4" fillId="0" borderId="0" xfId="0" applyFont="1"/>
    <xf numFmtId="0" fontId="5" fillId="3" borderId="0" xfId="0" applyFont="1" applyFill="1" applyAlignment="1">
      <alignment horizontal="center" vertical="center"/>
    </xf>
    <xf numFmtId="0" fontId="5" fillId="3" borderId="1" xfId="0" applyFont="1" applyFill="1" applyBorder="1" applyAlignment="1" applyProtection="1">
      <alignment horizontal="left" vertical="center"/>
      <protection hidden="1"/>
    </xf>
    <xf numFmtId="0" fontId="5" fillId="3" borderId="0" xfId="0" applyFont="1" applyFill="1" applyAlignment="1">
      <alignment horizontal="centerContinuous" vertical="center"/>
    </xf>
    <xf numFmtId="0" fontId="5" fillId="3" borderId="2" xfId="0" applyFont="1" applyFill="1" applyBorder="1" applyAlignment="1">
      <alignment horizontal="centerContinuous" vertical="center"/>
    </xf>
    <xf numFmtId="0" fontId="6" fillId="2" borderId="0" xfId="0" applyFont="1" applyFill="1" applyAlignment="1" applyProtection="1">
      <alignment horizontal="center" vertical="center"/>
      <protection hidden="1"/>
    </xf>
    <xf numFmtId="0" fontId="6" fillId="4" borderId="0" xfId="0" applyFont="1" applyFill="1" applyAlignment="1" applyProtection="1">
      <alignment horizontal="center" vertical="center"/>
      <protection hidden="1"/>
    </xf>
    <xf numFmtId="0" fontId="7" fillId="3" borderId="0" xfId="0" applyFont="1" applyFill="1" applyAlignment="1" applyProtection="1">
      <alignment horizontal="center" vertical="center"/>
      <protection hidden="1"/>
    </xf>
    <xf numFmtId="17" fontId="8" fillId="2" borderId="0" xfId="0" applyNumberFormat="1" applyFont="1" applyFill="1" applyAlignment="1" applyProtection="1">
      <alignment horizontal="center" vertical="center"/>
      <protection locked="0"/>
    </xf>
    <xf numFmtId="3" fontId="2" fillId="4" borderId="0" xfId="1" applyNumberFormat="1" applyFont="1" applyFill="1" applyAlignment="1" applyProtection="1">
      <alignment horizontal="right" vertical="center"/>
      <protection locked="0"/>
    </xf>
    <xf numFmtId="3" fontId="3" fillId="3" borderId="0" xfId="1" applyNumberFormat="1" applyFont="1" applyFill="1" applyAlignment="1" applyProtection="1">
      <alignment horizontal="right" vertical="center"/>
      <protection locked="0"/>
    </xf>
    <xf numFmtId="10" fontId="2" fillId="4" borderId="0" xfId="2" applyNumberFormat="1" applyFont="1" applyFill="1" applyAlignment="1" applyProtection="1">
      <alignment horizontal="center"/>
      <protection locked="0"/>
    </xf>
    <xf numFmtId="165" fontId="8" fillId="2" borderId="0" xfId="0" applyNumberFormat="1" applyFont="1" applyFill="1" applyAlignment="1" applyProtection="1">
      <alignment horizontal="center" vertical="center"/>
      <protection locked="0"/>
    </xf>
    <xf numFmtId="3" fontId="3" fillId="3" borderId="0" xfId="0" applyNumberFormat="1" applyFont="1" applyFill="1" applyProtection="1">
      <protection locked="0"/>
    </xf>
    <xf numFmtId="17" fontId="8" fillId="0" borderId="0" xfId="0" applyNumberFormat="1" applyFont="1" applyAlignment="1" applyProtection="1">
      <alignment horizontal="center"/>
      <protection locked="0"/>
    </xf>
    <xf numFmtId="10" fontId="2" fillId="4" borderId="0" xfId="2" applyNumberFormat="1" applyFont="1" applyFill="1" applyAlignment="1" applyProtection="1">
      <alignment horizontal="center" vertical="center"/>
      <protection locked="0"/>
    </xf>
    <xf numFmtId="10" fontId="2" fillId="0" borderId="0" xfId="0" applyNumberFormat="1" applyFont="1"/>
    <xf numFmtId="0" fontId="2" fillId="0" borderId="0" xfId="0" applyFont="1" applyProtection="1">
      <protection locked="0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las\Downloads\Hist&#243;rico%20Total%20Actualizado%20Junio2024.xls" TargetMode="External"/><Relationship Id="rId1" Type="http://schemas.openxmlformats.org/officeDocument/2006/relationships/externalLinkPath" Target="file:///C:\Users\lalas\Downloads\Hist&#243;rico%20Total%20Actualizado%20Junio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ice principal"/>
      <sheetName val="Saldos"/>
      <sheetName val="Composición"/>
      <sheetName val="Fuente - interna"/>
      <sheetName val="Fuente - externa"/>
      <sheetName val="Fuente - total"/>
      <sheetName val="Tasa - interna"/>
      <sheetName val="Tasa - externa"/>
      <sheetName val="Tasa - total"/>
      <sheetName val="Moneda - interna"/>
      <sheetName val="Moneda - externa"/>
      <sheetName val="Moneda - total"/>
      <sheetName val="Perfil - interna"/>
      <sheetName val="Perfil - externa"/>
      <sheetName val="Perfil - total"/>
      <sheetName val="Indicadores"/>
      <sheetName val="Hoja1"/>
      <sheetName val="Title"/>
      <sheetName val="Gráfica servicio deuda interna"/>
      <sheetName val="Gráfica servicio deuda externa"/>
      <sheetName val="Gráfica servicio deuda total"/>
    </sheetNames>
    <sheetDataSet>
      <sheetData sheetId="0" refreshError="1"/>
      <sheetData sheetId="1">
        <row r="2">
          <cell r="E2" t="str">
            <v>COP billones</v>
          </cell>
        </row>
        <row r="3">
          <cell r="E3" t="str">
            <v>Saldo Deuda Bruta GNC</v>
          </cell>
        </row>
        <row r="21">
          <cell r="B21" t="str">
            <v>Deuda interna</v>
          </cell>
          <cell r="C21" t="str">
            <v>Deuda externa</v>
          </cell>
          <cell r="D21" t="str">
            <v>Deuda total</v>
          </cell>
        </row>
        <row r="113">
          <cell r="A113">
            <v>39844</v>
          </cell>
          <cell r="B113">
            <v>111305817.61515965</v>
          </cell>
          <cell r="C113">
            <v>60497140.869270988</v>
          </cell>
          <cell r="D113">
            <v>171802958.48443064</v>
          </cell>
        </row>
        <row r="114">
          <cell r="A114">
            <v>39872</v>
          </cell>
          <cell r="B114">
            <v>113372391.7224758</v>
          </cell>
          <cell r="C114">
            <v>63350774.895530373</v>
          </cell>
          <cell r="D114">
            <v>176723166.61800617</v>
          </cell>
        </row>
        <row r="115">
          <cell r="A115">
            <v>39903</v>
          </cell>
          <cell r="B115">
            <v>115974564.05949976</v>
          </cell>
          <cell r="C115">
            <v>64875502.396956749</v>
          </cell>
          <cell r="D115">
            <v>180850066.45645651</v>
          </cell>
        </row>
        <row r="116">
          <cell r="A116">
            <v>39933</v>
          </cell>
          <cell r="B116">
            <v>118369561.34156573</v>
          </cell>
          <cell r="C116">
            <v>59730940.656664416</v>
          </cell>
          <cell r="D116">
            <v>178100501.99823016</v>
          </cell>
        </row>
        <row r="117">
          <cell r="A117">
            <v>39964</v>
          </cell>
          <cell r="B117">
            <v>116922434.1763466</v>
          </cell>
          <cell r="C117">
            <v>56210661.949987784</v>
          </cell>
          <cell r="D117">
            <v>173133096.12633437</v>
          </cell>
        </row>
        <row r="118">
          <cell r="A118">
            <v>39994</v>
          </cell>
          <cell r="B118">
            <v>118383672.05927682</v>
          </cell>
          <cell r="C118">
            <v>56582159.785788469</v>
          </cell>
          <cell r="D118">
            <v>174965831.8450653</v>
          </cell>
        </row>
        <row r="119">
          <cell r="A119">
            <v>40025</v>
          </cell>
          <cell r="B119">
            <v>115012801.18031743</v>
          </cell>
          <cell r="C119">
            <v>54145573.388653852</v>
          </cell>
          <cell r="D119">
            <v>169158374.56897128</v>
          </cell>
        </row>
        <row r="120">
          <cell r="A120">
            <v>40056</v>
          </cell>
          <cell r="B120">
            <v>118150262.93048888</v>
          </cell>
          <cell r="C120">
            <v>54433450.441749491</v>
          </cell>
          <cell r="D120">
            <v>172583713.37223837</v>
          </cell>
        </row>
        <row r="121">
          <cell r="A121">
            <v>40086</v>
          </cell>
          <cell r="B121">
            <v>118265101.54625696</v>
          </cell>
          <cell r="C121">
            <v>51882562.554750405</v>
          </cell>
          <cell r="D121">
            <v>170147664.10100737</v>
          </cell>
        </row>
        <row r="122">
          <cell r="A122">
            <v>40117</v>
          </cell>
          <cell r="B122">
            <v>120751981.74828909</v>
          </cell>
          <cell r="C122">
            <v>56235126.12390361</v>
          </cell>
          <cell r="D122">
            <v>176987107.87219271</v>
          </cell>
        </row>
        <row r="123">
          <cell r="A123">
            <v>40147</v>
          </cell>
          <cell r="B123">
            <v>125090866.3143288</v>
          </cell>
          <cell r="C123">
            <v>57694659.56747219</v>
          </cell>
          <cell r="D123">
            <v>182785525.88180101</v>
          </cell>
        </row>
        <row r="124">
          <cell r="A124">
            <v>40178</v>
          </cell>
          <cell r="B124">
            <v>125639747.22691907</v>
          </cell>
          <cell r="C124">
            <v>59694422.112222113</v>
          </cell>
          <cell r="D124">
            <v>185334169.33914119</v>
          </cell>
        </row>
        <row r="125">
          <cell r="A125">
            <v>40209</v>
          </cell>
          <cell r="B125">
            <v>127729021.42496493</v>
          </cell>
          <cell r="C125">
            <v>58026437.562987939</v>
          </cell>
          <cell r="D125">
            <v>185755458.98795289</v>
          </cell>
        </row>
        <row r="126">
          <cell r="A126">
            <v>40237</v>
          </cell>
          <cell r="B126">
            <v>128602245.84749272</v>
          </cell>
          <cell r="C126">
            <v>55559913.468568631</v>
          </cell>
          <cell r="D126">
            <v>184162159.31606135</v>
          </cell>
        </row>
        <row r="127">
          <cell r="A127">
            <v>40268</v>
          </cell>
          <cell r="B127">
            <v>129199888.264623</v>
          </cell>
          <cell r="C127">
            <v>55542310.58984866</v>
          </cell>
          <cell r="D127">
            <v>184742198.85447165</v>
          </cell>
        </row>
        <row r="128">
          <cell r="A128">
            <v>40298</v>
          </cell>
          <cell r="B128">
            <v>129492637.44384986</v>
          </cell>
          <cell r="C128">
            <v>59095461.735265672</v>
          </cell>
          <cell r="D128">
            <v>188588099.17911553</v>
          </cell>
        </row>
        <row r="129">
          <cell r="A129">
            <v>40329</v>
          </cell>
          <cell r="B129">
            <v>129408467.99951814</v>
          </cell>
          <cell r="C129">
            <v>58694373.826705657</v>
          </cell>
          <cell r="D129">
            <v>188102841.82622379</v>
          </cell>
        </row>
        <row r="130">
          <cell r="A130">
            <v>40359</v>
          </cell>
          <cell r="B130">
            <v>131337880.40129557</v>
          </cell>
          <cell r="C130">
            <v>57356296.929828525</v>
          </cell>
          <cell r="D130">
            <v>188694177.3311241</v>
          </cell>
        </row>
        <row r="131">
          <cell r="A131">
            <v>40390</v>
          </cell>
          <cell r="B131">
            <v>133551850.98283531</v>
          </cell>
          <cell r="C131">
            <v>55065090.267541401</v>
          </cell>
          <cell r="D131">
            <v>188616941.2503767</v>
          </cell>
        </row>
        <row r="132">
          <cell r="A132">
            <v>40421</v>
          </cell>
          <cell r="B132">
            <v>136364647.58715189</v>
          </cell>
          <cell r="C132">
            <v>55597644.84294647</v>
          </cell>
          <cell r="D132">
            <v>191962292.43009835</v>
          </cell>
        </row>
        <row r="133">
          <cell r="A133">
            <v>40451</v>
          </cell>
          <cell r="B133">
            <v>134280437.14063859</v>
          </cell>
          <cell r="C133">
            <v>55240381.869982168</v>
          </cell>
          <cell r="D133">
            <v>189520819.01062077</v>
          </cell>
        </row>
        <row r="134">
          <cell r="A134">
            <v>40482</v>
          </cell>
          <cell r="B134">
            <v>136440575.15192899</v>
          </cell>
          <cell r="C134">
            <v>56811157.51996626</v>
          </cell>
          <cell r="D134">
            <v>193251732.671895</v>
          </cell>
        </row>
        <row r="135">
          <cell r="A135">
            <v>40512</v>
          </cell>
          <cell r="B135">
            <v>137408431.98658863</v>
          </cell>
          <cell r="C135">
            <v>58523143.040842503</v>
          </cell>
          <cell r="D135">
            <v>195931575.02743113</v>
          </cell>
        </row>
        <row r="136">
          <cell r="A136">
            <v>40543</v>
          </cell>
          <cell r="B136">
            <v>143534231.0976536</v>
          </cell>
          <cell r="C136">
            <v>59306054.904884927</v>
          </cell>
          <cell r="D136">
            <v>202840286.00253853</v>
          </cell>
        </row>
        <row r="137">
          <cell r="A137">
            <v>40574</v>
          </cell>
          <cell r="B137">
            <v>138256172.77755001</v>
          </cell>
          <cell r="C137">
            <v>57866641.587261178</v>
          </cell>
          <cell r="D137">
            <v>196122814.364811</v>
          </cell>
        </row>
        <row r="138">
          <cell r="A138">
            <v>40602</v>
          </cell>
          <cell r="B138">
            <v>140291720.31538704</v>
          </cell>
          <cell r="C138">
            <v>58814395.331597432</v>
          </cell>
          <cell r="D138">
            <v>199106115.64698446</v>
          </cell>
        </row>
        <row r="139">
          <cell r="A139">
            <v>40633</v>
          </cell>
          <cell r="B139">
            <v>141918757.21490705</v>
          </cell>
          <cell r="C139">
            <v>58372274.555211447</v>
          </cell>
          <cell r="D139">
            <v>200291031.77011901</v>
          </cell>
        </row>
        <row r="140">
          <cell r="A140">
            <v>40663</v>
          </cell>
          <cell r="B140">
            <v>145262271.19051355</v>
          </cell>
          <cell r="C140">
            <v>55506746.601131961</v>
          </cell>
          <cell r="D140">
            <v>200769017.79164553</v>
          </cell>
        </row>
        <row r="141">
          <cell r="A141">
            <v>40694</v>
          </cell>
          <cell r="B141">
            <v>140207402.15552816</v>
          </cell>
          <cell r="C141">
            <v>55810203.25900808</v>
          </cell>
          <cell r="D141">
            <v>196017605.41453624</v>
          </cell>
        </row>
        <row r="142">
          <cell r="A142">
            <v>40724</v>
          </cell>
          <cell r="B142">
            <v>140723785.57385731</v>
          </cell>
          <cell r="C142">
            <v>54770037.483688205</v>
          </cell>
          <cell r="D142">
            <v>195493823.05754551</v>
          </cell>
        </row>
        <row r="143">
          <cell r="A143">
            <v>40755</v>
          </cell>
          <cell r="B143">
            <v>142649913.94095564</v>
          </cell>
          <cell r="C143">
            <v>58062873.745896019</v>
          </cell>
          <cell r="D143">
            <v>200712787.68685165</v>
          </cell>
        </row>
        <row r="144">
          <cell r="A144">
            <v>40786</v>
          </cell>
          <cell r="B144">
            <v>145502171.72358668</v>
          </cell>
          <cell r="C144">
            <v>58420183.519118153</v>
          </cell>
          <cell r="D144">
            <v>203922355.24270484</v>
          </cell>
        </row>
        <row r="145">
          <cell r="A145">
            <v>40816</v>
          </cell>
          <cell r="B145">
            <v>145933902.1315977</v>
          </cell>
          <cell r="C145">
            <v>62443836.979088537</v>
          </cell>
          <cell r="D145">
            <v>208377739.11068624</v>
          </cell>
        </row>
        <row r="146">
          <cell r="A146">
            <v>40847</v>
          </cell>
          <cell r="B146">
            <v>147285977.359404</v>
          </cell>
          <cell r="C146">
            <v>60767253.275181584</v>
          </cell>
          <cell r="D146">
            <v>208053230.63458559</v>
          </cell>
        </row>
        <row r="147">
          <cell r="A147">
            <v>40877</v>
          </cell>
          <cell r="B147">
            <v>148031373.32259506</v>
          </cell>
          <cell r="C147">
            <v>63893220.653718755</v>
          </cell>
          <cell r="D147">
            <v>211924593.97631383</v>
          </cell>
        </row>
        <row r="148">
          <cell r="A148">
            <v>40878</v>
          </cell>
          <cell r="B148">
            <v>150713296.31648323</v>
          </cell>
          <cell r="C148">
            <v>63980291.740931503</v>
          </cell>
          <cell r="D148">
            <v>214693588.05741474</v>
          </cell>
        </row>
        <row r="149">
          <cell r="A149">
            <v>40909</v>
          </cell>
          <cell r="B149">
            <v>149309476.95885521</v>
          </cell>
          <cell r="C149">
            <v>61312289.135329708</v>
          </cell>
          <cell r="D149">
            <v>210621766.09418496</v>
          </cell>
        </row>
        <row r="150">
          <cell r="A150">
            <v>40940</v>
          </cell>
          <cell r="B150">
            <v>152133600.35957208</v>
          </cell>
          <cell r="C150">
            <v>58904732.470003232</v>
          </cell>
          <cell r="D150">
            <v>211038332.8295753</v>
          </cell>
        </row>
        <row r="151">
          <cell r="A151">
            <v>40969</v>
          </cell>
          <cell r="B151">
            <v>152389175.21561873</v>
          </cell>
          <cell r="C151">
            <v>59284387.376865819</v>
          </cell>
          <cell r="D151">
            <v>211673562.59248453</v>
          </cell>
        </row>
        <row r="152">
          <cell r="A152">
            <v>41000</v>
          </cell>
          <cell r="B152">
            <v>151928372.71537203</v>
          </cell>
          <cell r="C152">
            <v>58696879.440780565</v>
          </cell>
          <cell r="D152">
            <v>210625252.15615261</v>
          </cell>
        </row>
        <row r="153">
          <cell r="A153">
            <v>41030</v>
          </cell>
          <cell r="B153">
            <v>151917942.34102231</v>
          </cell>
          <cell r="C153">
            <v>60219982.160049155</v>
          </cell>
          <cell r="D153">
            <v>212137924.50107145</v>
          </cell>
        </row>
        <row r="154">
          <cell r="A154">
            <v>41061</v>
          </cell>
          <cell r="B154">
            <v>152228870.78817984</v>
          </cell>
          <cell r="C154">
            <v>59567472.480821647</v>
          </cell>
          <cell r="D154">
            <v>211796343.26900148</v>
          </cell>
        </row>
        <row r="155">
          <cell r="A155">
            <v>41091</v>
          </cell>
          <cell r="B155">
            <v>154044907.6774804</v>
          </cell>
          <cell r="C155">
            <v>58944256.902967967</v>
          </cell>
          <cell r="D155">
            <v>212989164.58044836</v>
          </cell>
        </row>
        <row r="156">
          <cell r="A156">
            <v>41122</v>
          </cell>
          <cell r="B156">
            <v>151933235.58677089</v>
          </cell>
          <cell r="C156">
            <v>60050770.712265857</v>
          </cell>
          <cell r="D156">
            <v>211984006.29903674</v>
          </cell>
        </row>
        <row r="157">
          <cell r="A157">
            <v>41182</v>
          </cell>
          <cell r="B157">
            <v>152577367.99065548</v>
          </cell>
          <cell r="C157">
            <v>60125045.113651752</v>
          </cell>
          <cell r="D157">
            <v>212702413.10430723</v>
          </cell>
        </row>
        <row r="158">
          <cell r="A158">
            <v>41213</v>
          </cell>
          <cell r="B158">
            <v>152143040.7909686</v>
          </cell>
          <cell r="C158">
            <v>61002777.01929675</v>
          </cell>
          <cell r="D158">
            <v>213145817.81026536</v>
          </cell>
        </row>
        <row r="159">
          <cell r="A159">
            <v>41243</v>
          </cell>
          <cell r="B159">
            <v>154961324.57608467</v>
          </cell>
          <cell r="C159">
            <v>60275410.638048492</v>
          </cell>
          <cell r="D159">
            <v>215236735.21413317</v>
          </cell>
        </row>
        <row r="160">
          <cell r="A160">
            <v>41274</v>
          </cell>
          <cell r="B160">
            <v>156770236.88398901</v>
          </cell>
          <cell r="C160">
            <v>59519174.609242201</v>
          </cell>
          <cell r="D160">
            <v>216289411.49323121</v>
          </cell>
        </row>
        <row r="161">
          <cell r="A161">
            <v>41275</v>
          </cell>
          <cell r="B161">
            <v>157088832.22751099</v>
          </cell>
          <cell r="C161">
            <v>60385932.630992703</v>
          </cell>
          <cell r="D161">
            <v>217474764.858504</v>
          </cell>
        </row>
        <row r="162">
          <cell r="A162">
            <v>41306</v>
          </cell>
          <cell r="B162">
            <v>160617065.76026973</v>
          </cell>
          <cell r="C162">
            <v>61469337.068306446</v>
          </cell>
          <cell r="D162">
            <v>222086402.82857618</v>
          </cell>
        </row>
        <row r="163">
          <cell r="A163">
            <v>41364</v>
          </cell>
          <cell r="B163">
            <v>162795308.24115944</v>
          </cell>
          <cell r="C163">
            <v>61714008.757807396</v>
          </cell>
          <cell r="D163">
            <v>224509316.99896684</v>
          </cell>
        </row>
        <row r="164">
          <cell r="A164">
            <v>41394</v>
          </cell>
          <cell r="B164">
            <v>161426030.29863778</v>
          </cell>
          <cell r="C164">
            <v>61697809.015302777</v>
          </cell>
          <cell r="D164">
            <v>223123839.31394055</v>
          </cell>
        </row>
        <row r="165">
          <cell r="A165">
            <v>41425</v>
          </cell>
          <cell r="B165">
            <v>161038520.98083526</v>
          </cell>
          <cell r="C165">
            <v>63062721.759932451</v>
          </cell>
          <cell r="D165">
            <v>224101242.74076772</v>
          </cell>
        </row>
        <row r="166">
          <cell r="A166">
            <v>41455</v>
          </cell>
          <cell r="B166">
            <v>161506406.54608756</v>
          </cell>
          <cell r="C166">
            <v>63775756.051844962</v>
          </cell>
          <cell r="D166">
            <v>225282162.59793252</v>
          </cell>
        </row>
        <row r="167">
          <cell r="A167">
            <v>41486</v>
          </cell>
          <cell r="B167">
            <v>165366330.55910441</v>
          </cell>
          <cell r="C167">
            <v>62830021.314390451</v>
          </cell>
          <cell r="D167">
            <v>228196351.87349486</v>
          </cell>
        </row>
        <row r="168">
          <cell r="A168">
            <v>41517</v>
          </cell>
          <cell r="B168">
            <v>169055200.0091067</v>
          </cell>
          <cell r="C168">
            <v>64693839.549436428</v>
          </cell>
          <cell r="D168">
            <v>233749039.55854312</v>
          </cell>
        </row>
        <row r="169">
          <cell r="A169">
            <v>41547</v>
          </cell>
          <cell r="B169">
            <v>173323596.39068246</v>
          </cell>
          <cell r="C169">
            <v>67951859.989899993</v>
          </cell>
          <cell r="D169">
            <v>241275456.38058245</v>
          </cell>
        </row>
        <row r="170">
          <cell r="A170">
            <v>41578</v>
          </cell>
          <cell r="B170">
            <v>176578184.84857079</v>
          </cell>
          <cell r="C170">
            <v>67028443.222957551</v>
          </cell>
          <cell r="D170">
            <v>243606628.07152835</v>
          </cell>
        </row>
        <row r="171">
          <cell r="A171">
            <v>41608</v>
          </cell>
          <cell r="B171">
            <v>174537472.3792288</v>
          </cell>
          <cell r="C171">
            <v>67924833.736768171</v>
          </cell>
          <cell r="D171">
            <v>242462306.11599696</v>
          </cell>
        </row>
        <row r="172">
          <cell r="A172">
            <v>41639</v>
          </cell>
          <cell r="B172">
            <v>180640182.34028035</v>
          </cell>
          <cell r="C172">
            <v>68719143.631469116</v>
          </cell>
          <cell r="D172">
            <v>249359325.97174948</v>
          </cell>
        </row>
        <row r="173">
          <cell r="A173">
            <v>41670</v>
          </cell>
          <cell r="B173">
            <v>177564823.06683302</v>
          </cell>
          <cell r="C173">
            <v>75180629.918272331</v>
          </cell>
          <cell r="D173">
            <v>252745452.98510534</v>
          </cell>
        </row>
        <row r="174">
          <cell r="A174">
            <v>41698</v>
          </cell>
          <cell r="B174">
            <v>180835085.05285269</v>
          </cell>
          <cell r="C174">
            <v>76678591.532125011</v>
          </cell>
          <cell r="D174">
            <v>257513676.58497769</v>
          </cell>
        </row>
        <row r="175">
          <cell r="A175">
            <v>41729</v>
          </cell>
          <cell r="B175">
            <v>186652561.58059865</v>
          </cell>
          <cell r="C175">
            <v>73623532.876875296</v>
          </cell>
          <cell r="D175">
            <v>260276094.45747393</v>
          </cell>
        </row>
        <row r="176">
          <cell r="A176">
            <v>41759</v>
          </cell>
          <cell r="B176">
            <v>190792944.83960074</v>
          </cell>
          <cell r="C176">
            <v>72620679.108229458</v>
          </cell>
          <cell r="D176">
            <v>263413623.9478302</v>
          </cell>
        </row>
        <row r="177">
          <cell r="A177">
            <v>41790</v>
          </cell>
          <cell r="B177">
            <v>184291347.86996517</v>
          </cell>
          <cell r="C177">
            <v>70899952.872108862</v>
          </cell>
          <cell r="D177">
            <v>255191300.74207401</v>
          </cell>
        </row>
        <row r="178">
          <cell r="A178">
            <v>41820</v>
          </cell>
          <cell r="B178">
            <v>190085916.22967842</v>
          </cell>
          <cell r="C178">
            <v>70064204.647701547</v>
          </cell>
          <cell r="D178">
            <v>260150120.87737995</v>
          </cell>
        </row>
        <row r="179">
          <cell r="A179">
            <v>41851</v>
          </cell>
          <cell r="B179">
            <v>190986328.36011529</v>
          </cell>
          <cell r="C179">
            <v>69533921.735763371</v>
          </cell>
          <cell r="D179">
            <v>260520250.09587866</v>
          </cell>
        </row>
        <row r="180">
          <cell r="A180">
            <v>41882</v>
          </cell>
          <cell r="B180">
            <v>194468674.84359205</v>
          </cell>
          <cell r="C180">
            <v>71558525.809544712</v>
          </cell>
          <cell r="D180">
            <v>266027200.65313676</v>
          </cell>
        </row>
        <row r="181">
          <cell r="A181">
            <v>41912</v>
          </cell>
          <cell r="B181">
            <v>196047624.50696129</v>
          </cell>
          <cell r="C181">
            <v>74241185.730615795</v>
          </cell>
          <cell r="D181">
            <v>270288810.23757708</v>
          </cell>
        </row>
        <row r="182">
          <cell r="A182">
            <v>41943</v>
          </cell>
          <cell r="B182">
            <v>202000099.63423562</v>
          </cell>
          <cell r="C182">
            <v>77552283.370231301</v>
          </cell>
          <cell r="D182">
            <v>279552383.00446689</v>
          </cell>
        </row>
        <row r="183">
          <cell r="A183">
            <v>41973</v>
          </cell>
          <cell r="B183">
            <v>198444147.06839329</v>
          </cell>
          <cell r="C183">
            <v>80649797.76488477</v>
          </cell>
          <cell r="D183">
            <v>279093944.83327806</v>
          </cell>
        </row>
        <row r="184">
          <cell r="A184">
            <v>42004</v>
          </cell>
          <cell r="B184">
            <v>200098697.55529416</v>
          </cell>
          <cell r="C184">
            <v>89767232.003086373</v>
          </cell>
          <cell r="D184">
            <v>289865929.55838054</v>
          </cell>
        </row>
        <row r="185">
          <cell r="A185">
            <v>42035</v>
          </cell>
          <cell r="B185">
            <v>197892476.50707862</v>
          </cell>
          <cell r="C185">
            <v>93317433.437102348</v>
          </cell>
          <cell r="D185">
            <v>291209909.94418097</v>
          </cell>
        </row>
        <row r="186">
          <cell r="A186">
            <v>42063</v>
          </cell>
          <cell r="B186">
            <v>200231357.35978913</v>
          </cell>
          <cell r="C186">
            <v>96808713.176326931</v>
          </cell>
          <cell r="D186">
            <v>297040070.53611606</v>
          </cell>
        </row>
        <row r="187">
          <cell r="A187">
            <v>42094</v>
          </cell>
          <cell r="B187">
            <v>202187868.82194659</v>
          </cell>
          <cell r="C187">
            <v>102449041.76554218</v>
          </cell>
          <cell r="D187">
            <v>304636910.58748877</v>
          </cell>
        </row>
        <row r="188">
          <cell r="A188">
            <v>42124</v>
          </cell>
          <cell r="B188">
            <v>203349923.29020673</v>
          </cell>
          <cell r="C188">
            <v>95629504.698379114</v>
          </cell>
          <cell r="D188">
            <v>298979427.98858583</v>
          </cell>
        </row>
        <row r="189">
          <cell r="A189">
            <v>42155</v>
          </cell>
          <cell r="B189">
            <v>211794182.91943687</v>
          </cell>
          <cell r="C189">
            <v>100897657.0419164</v>
          </cell>
          <cell r="D189">
            <v>312691839.9613533</v>
          </cell>
        </row>
        <row r="190">
          <cell r="A190">
            <v>42185</v>
          </cell>
          <cell r="B190">
            <v>208318158.98190579</v>
          </cell>
          <cell r="C190">
            <v>101862301.54981145</v>
          </cell>
          <cell r="D190">
            <v>310180460.53171724</v>
          </cell>
        </row>
        <row r="191">
          <cell r="A191">
            <v>42216</v>
          </cell>
          <cell r="B191">
            <v>206627454.6970925</v>
          </cell>
          <cell r="C191">
            <v>111895599.64530221</v>
          </cell>
          <cell r="D191">
            <v>318523054.34239471</v>
          </cell>
        </row>
        <row r="192">
          <cell r="A192">
            <v>42247</v>
          </cell>
          <cell r="B192">
            <v>209186491.68683568</v>
          </cell>
          <cell r="C192">
            <v>119322756.76222073</v>
          </cell>
          <cell r="D192">
            <v>328509248.44905639</v>
          </cell>
        </row>
        <row r="193">
          <cell r="A193">
            <v>42277</v>
          </cell>
          <cell r="B193">
            <v>218546792.54736164</v>
          </cell>
          <cell r="C193">
            <v>125390173.47975096</v>
          </cell>
          <cell r="D193">
            <v>343936966.0271126</v>
          </cell>
        </row>
        <row r="194">
          <cell r="A194">
            <v>42308</v>
          </cell>
          <cell r="B194">
            <v>208000714.17086363</v>
          </cell>
          <cell r="C194">
            <v>117680036.32568659</v>
          </cell>
          <cell r="D194">
            <v>325680750.4965502</v>
          </cell>
        </row>
        <row r="195">
          <cell r="A195">
            <v>42338</v>
          </cell>
          <cell r="B195">
            <v>207015568.29514915</v>
          </cell>
          <cell r="C195">
            <v>123239655.14920554</v>
          </cell>
          <cell r="D195">
            <v>330255223.44435465</v>
          </cell>
        </row>
        <row r="196">
          <cell r="A196">
            <v>42369</v>
          </cell>
          <cell r="B196">
            <v>211609269.76425281</v>
          </cell>
          <cell r="C196">
            <v>129590463.61165862</v>
          </cell>
          <cell r="D196">
            <v>341199733.37591141</v>
          </cell>
        </row>
        <row r="197">
          <cell r="A197">
            <v>42400</v>
          </cell>
          <cell r="B197">
            <v>212684390.72811937</v>
          </cell>
          <cell r="C197">
            <v>136367052.99618524</v>
          </cell>
          <cell r="D197">
            <v>349051443.72430462</v>
          </cell>
        </row>
        <row r="198">
          <cell r="A198">
            <v>42401</v>
          </cell>
          <cell r="B198">
            <v>218573911.62225527</v>
          </cell>
          <cell r="C198">
            <v>136020607.40089744</v>
          </cell>
          <cell r="D198">
            <v>354594519.02315271</v>
          </cell>
        </row>
        <row r="199">
          <cell r="A199">
            <v>42430</v>
          </cell>
          <cell r="B199">
            <v>222656794.23718953</v>
          </cell>
          <cell r="C199">
            <v>129404223.27700727</v>
          </cell>
          <cell r="D199">
            <v>352061017.51419681</v>
          </cell>
        </row>
        <row r="200">
          <cell r="A200">
            <v>42461</v>
          </cell>
          <cell r="B200">
            <v>227291506.87014025</v>
          </cell>
          <cell r="C200">
            <v>123851217.38012549</v>
          </cell>
          <cell r="D200">
            <v>351142724.25026572</v>
          </cell>
        </row>
        <row r="201">
          <cell r="A201">
            <v>42491</v>
          </cell>
          <cell r="B201">
            <v>233216996.56316924</v>
          </cell>
          <cell r="C201">
            <v>132583650.95916942</v>
          </cell>
          <cell r="D201">
            <v>365800647.52233863</v>
          </cell>
        </row>
        <row r="202">
          <cell r="A202">
            <v>42522</v>
          </cell>
          <cell r="B202">
            <v>232918011.10422453</v>
          </cell>
          <cell r="C202">
            <v>126126625.34540461</v>
          </cell>
          <cell r="D202">
            <v>359044636.44962913</v>
          </cell>
        </row>
        <row r="203">
          <cell r="A203">
            <v>42552</v>
          </cell>
          <cell r="B203">
            <v>233278203.870309</v>
          </cell>
          <cell r="C203">
            <v>133388137.45034657</v>
          </cell>
          <cell r="D203">
            <v>366666341.32065558</v>
          </cell>
        </row>
        <row r="204">
          <cell r="A204">
            <v>42583</v>
          </cell>
          <cell r="B204">
            <v>236432083.28324249</v>
          </cell>
          <cell r="C204">
            <v>126580652.166949</v>
          </cell>
          <cell r="D204">
            <v>363012735.45019114</v>
          </cell>
        </row>
        <row r="205">
          <cell r="A205">
            <v>42614</v>
          </cell>
          <cell r="B205">
            <v>239269688.37336314</v>
          </cell>
          <cell r="C205">
            <v>124198517.77009965</v>
          </cell>
          <cell r="D205">
            <v>363468206.14346278</v>
          </cell>
        </row>
        <row r="206">
          <cell r="A206">
            <v>42674</v>
          </cell>
          <cell r="B206">
            <v>241991639.48386723</v>
          </cell>
          <cell r="C206">
            <v>127416890.57074043</v>
          </cell>
          <cell r="D206">
            <v>369408530.05460763</v>
          </cell>
        </row>
        <row r="207">
          <cell r="A207">
            <v>42704</v>
          </cell>
          <cell r="B207">
            <v>244867318.63535088</v>
          </cell>
          <cell r="C207">
            <v>136876163.22487298</v>
          </cell>
          <cell r="D207">
            <v>381743481.86022389</v>
          </cell>
        </row>
        <row r="208">
          <cell r="A208">
            <v>42735</v>
          </cell>
          <cell r="B208">
            <v>243015611.75506231</v>
          </cell>
          <cell r="C208">
            <v>134069787.40932594</v>
          </cell>
          <cell r="D208">
            <v>377085399.16438824</v>
          </cell>
        </row>
        <row r="209">
          <cell r="A209">
            <v>42766</v>
          </cell>
          <cell r="B209">
            <v>243694978.92067796</v>
          </cell>
          <cell r="C209">
            <v>134875791.70467806</v>
          </cell>
          <cell r="D209">
            <v>378570770.62535602</v>
          </cell>
        </row>
        <row r="210">
          <cell r="A210">
            <v>42794</v>
          </cell>
          <cell r="B210">
            <v>248369274.38176462</v>
          </cell>
          <cell r="C210">
            <v>132635099.38497403</v>
          </cell>
          <cell r="D210">
            <v>381004373.76673865</v>
          </cell>
        </row>
        <row r="211">
          <cell r="A211">
            <v>42825</v>
          </cell>
          <cell r="B211">
            <v>253471755.6831139</v>
          </cell>
          <cell r="C211">
            <v>131754601.88097288</v>
          </cell>
          <cell r="D211">
            <v>385226357.56408679</v>
          </cell>
        </row>
        <row r="212">
          <cell r="A212">
            <v>42855</v>
          </cell>
          <cell r="B212">
            <v>255714577.11101821</v>
          </cell>
          <cell r="C212">
            <v>134693162.99358007</v>
          </cell>
          <cell r="D212">
            <v>390407740.10459828</v>
          </cell>
        </row>
        <row r="213">
          <cell r="A213">
            <v>42886</v>
          </cell>
          <cell r="B213">
            <v>252718358.56229156</v>
          </cell>
          <cell r="C213">
            <v>133981867.46012698</v>
          </cell>
          <cell r="D213">
            <v>386700226.02241856</v>
          </cell>
        </row>
        <row r="214">
          <cell r="A214">
            <v>42916</v>
          </cell>
          <cell r="B214">
            <v>250568580.48822618</v>
          </cell>
          <cell r="C214">
            <v>139056306.68307236</v>
          </cell>
          <cell r="D214">
            <v>389624887.1712985</v>
          </cell>
        </row>
        <row r="215">
          <cell r="A215">
            <v>42947</v>
          </cell>
          <cell r="B215">
            <v>255680551.0927217</v>
          </cell>
          <cell r="C215">
            <v>137569253.96246386</v>
          </cell>
          <cell r="D215">
            <v>393249805.05518556</v>
          </cell>
        </row>
        <row r="216">
          <cell r="A216">
            <v>42978</v>
          </cell>
          <cell r="B216">
            <v>260374930.47211647</v>
          </cell>
          <cell r="C216">
            <v>140364356.41136405</v>
          </cell>
          <cell r="D216">
            <v>400739286.88348055</v>
          </cell>
        </row>
        <row r="217">
          <cell r="A217">
            <v>43008</v>
          </cell>
          <cell r="B217">
            <v>261562213.32989857</v>
          </cell>
          <cell r="C217">
            <v>140194808.71799496</v>
          </cell>
          <cell r="D217">
            <v>401757022.04789352</v>
          </cell>
        </row>
        <row r="218">
          <cell r="A218">
            <v>43039</v>
          </cell>
          <cell r="B218">
            <v>263093997.76348901</v>
          </cell>
          <cell r="C218">
            <v>143149490.53709531</v>
          </cell>
          <cell r="D218">
            <v>406243488.30058402</v>
          </cell>
        </row>
        <row r="219">
          <cell r="A219">
            <v>43069</v>
          </cell>
          <cell r="B219">
            <v>264923006.85490698</v>
          </cell>
          <cell r="C219">
            <v>142913657.06477386</v>
          </cell>
          <cell r="D219">
            <v>407836663.91968083</v>
          </cell>
        </row>
        <row r="220">
          <cell r="A220">
            <v>43100</v>
          </cell>
          <cell r="B220">
            <v>269333787.82399297</v>
          </cell>
          <cell r="C220">
            <v>142552124.44486585</v>
          </cell>
          <cell r="D220">
            <v>411885912.26885879</v>
          </cell>
        </row>
        <row r="221">
          <cell r="A221">
            <v>43131</v>
          </cell>
          <cell r="B221">
            <v>273577976.18843114</v>
          </cell>
          <cell r="C221">
            <v>137883895.08766097</v>
          </cell>
          <cell r="D221">
            <v>411461871.27609211</v>
          </cell>
        </row>
        <row r="222">
          <cell r="A222">
            <v>43159</v>
          </cell>
          <cell r="B222">
            <v>279079549.26033974</v>
          </cell>
          <cell r="C222">
            <v>138254707.90655193</v>
          </cell>
          <cell r="D222">
            <v>417334257.16689169</v>
          </cell>
        </row>
        <row r="223">
          <cell r="A223">
            <v>43190</v>
          </cell>
          <cell r="B223">
            <v>280562903.11011064</v>
          </cell>
          <cell r="C223">
            <v>136559326.66186175</v>
          </cell>
          <cell r="D223">
            <v>417122229.77197242</v>
          </cell>
        </row>
        <row r="224">
          <cell r="A224">
            <v>43220</v>
          </cell>
          <cell r="B224">
            <v>287751137.82814205</v>
          </cell>
          <cell r="C224">
            <v>138016098.67575094</v>
          </cell>
          <cell r="D224">
            <v>425767236.50389302</v>
          </cell>
        </row>
        <row r="225">
          <cell r="A225">
            <v>43251</v>
          </cell>
          <cell r="B225">
            <v>293744808.9562571</v>
          </cell>
          <cell r="C225">
            <v>140613575.40115675</v>
          </cell>
          <cell r="D225">
            <v>434358384.35741389</v>
          </cell>
        </row>
        <row r="226">
          <cell r="A226">
            <v>43281</v>
          </cell>
          <cell r="B226">
            <v>296260403.33331323</v>
          </cell>
          <cell r="C226">
            <v>143439062.63392922</v>
          </cell>
          <cell r="D226">
            <v>439699465.96724248</v>
          </cell>
        </row>
        <row r="227">
          <cell r="A227">
            <v>43312</v>
          </cell>
          <cell r="B227">
            <v>301661661.01779324</v>
          </cell>
          <cell r="C227">
            <v>140107593.37015706</v>
          </cell>
          <cell r="D227">
            <v>441769254.3879503</v>
          </cell>
        </row>
        <row r="228">
          <cell r="A228">
            <v>43343</v>
          </cell>
          <cell r="B228">
            <v>307983597.12410873</v>
          </cell>
          <cell r="C228">
            <v>146875765.03612724</v>
          </cell>
          <cell r="D228">
            <v>454859362.160236</v>
          </cell>
        </row>
        <row r="229">
          <cell r="A229">
            <v>43373</v>
          </cell>
          <cell r="B229">
            <v>311304097.02080071</v>
          </cell>
          <cell r="C229">
            <v>145816613.20145193</v>
          </cell>
          <cell r="D229">
            <v>457120710.22225261</v>
          </cell>
        </row>
        <row r="230">
          <cell r="A230">
            <v>43404</v>
          </cell>
          <cell r="B230">
            <v>310450473.15965354</v>
          </cell>
          <cell r="C230">
            <v>159009370.38801381</v>
          </cell>
          <cell r="D230">
            <v>469459843.54766738</v>
          </cell>
        </row>
        <row r="231">
          <cell r="A231">
            <v>43434</v>
          </cell>
          <cell r="B231">
            <v>308263067.74220312</v>
          </cell>
          <cell r="C231">
            <v>161178582.56463969</v>
          </cell>
          <cell r="D231">
            <v>469441650.3068428</v>
          </cell>
        </row>
        <row r="232">
          <cell r="A232">
            <v>43465</v>
          </cell>
          <cell r="B232">
            <v>309935579.36553746</v>
          </cell>
          <cell r="C232">
            <v>164090347.19709632</v>
          </cell>
          <cell r="D232">
            <v>474025926.5626334</v>
          </cell>
        </row>
        <row r="233">
          <cell r="A233">
            <v>43496</v>
          </cell>
          <cell r="B233">
            <v>314376105.39829493</v>
          </cell>
          <cell r="C233">
            <v>166260785.35409623</v>
          </cell>
          <cell r="D233">
            <v>480636890.75239116</v>
          </cell>
        </row>
        <row r="234">
          <cell r="A234">
            <v>43524</v>
          </cell>
          <cell r="B234">
            <v>320423404.14469355</v>
          </cell>
          <cell r="C234">
            <v>161145767.2076804</v>
          </cell>
          <cell r="D234">
            <v>481569171.35237384</v>
          </cell>
        </row>
        <row r="235">
          <cell r="A235">
            <v>43555</v>
          </cell>
          <cell r="B235">
            <v>324068396.07382751</v>
          </cell>
          <cell r="C235">
            <v>163417445.05729488</v>
          </cell>
          <cell r="D235">
            <v>487485841.13112235</v>
          </cell>
        </row>
        <row r="236">
          <cell r="A236">
            <v>43585</v>
          </cell>
          <cell r="B236">
            <v>323933778.32122874</v>
          </cell>
          <cell r="C236">
            <v>165921112.45995641</v>
          </cell>
          <cell r="D236">
            <v>489854890.78118515</v>
          </cell>
        </row>
        <row r="237">
          <cell r="A237">
            <v>43616</v>
          </cell>
          <cell r="B237">
            <v>324423344.80396718</v>
          </cell>
          <cell r="C237">
            <v>170961465.59626636</v>
          </cell>
          <cell r="D237">
            <v>495384810.40023351</v>
          </cell>
        </row>
        <row r="238">
          <cell r="A238">
            <v>43646</v>
          </cell>
          <cell r="B238">
            <v>332678152.96158701</v>
          </cell>
          <cell r="C238">
            <v>163262612.25119537</v>
          </cell>
          <cell r="D238">
            <v>495940765.21278292</v>
          </cell>
        </row>
        <row r="239">
          <cell r="A239">
            <v>43677</v>
          </cell>
          <cell r="B239">
            <v>340239053.44168985</v>
          </cell>
          <cell r="C239">
            <v>167530632.20393959</v>
          </cell>
          <cell r="D239">
            <v>507769685.64562941</v>
          </cell>
        </row>
        <row r="240">
          <cell r="A240">
            <v>43708</v>
          </cell>
          <cell r="B240">
            <v>342936887.39506519</v>
          </cell>
          <cell r="C240">
            <v>175067999.25969523</v>
          </cell>
          <cell r="D240">
            <v>518004886.65476042</v>
          </cell>
        </row>
        <row r="241">
          <cell r="A241">
            <v>43738</v>
          </cell>
          <cell r="B241">
            <v>334736518.84807253</v>
          </cell>
          <cell r="C241">
            <v>176054321.49443451</v>
          </cell>
          <cell r="D241">
            <v>510790840.34250712</v>
          </cell>
        </row>
        <row r="242">
          <cell r="A242">
            <v>43769</v>
          </cell>
          <cell r="B242">
            <v>336864304.71226597</v>
          </cell>
          <cell r="C242">
            <v>172592048.50443509</v>
          </cell>
          <cell r="D242">
            <v>509456353.21670103</v>
          </cell>
        </row>
        <row r="243">
          <cell r="A243">
            <v>43799</v>
          </cell>
          <cell r="B243">
            <v>340030035.49273849</v>
          </cell>
          <cell r="C243">
            <v>178538620.54997858</v>
          </cell>
          <cell r="D243">
            <v>518568656.0427171</v>
          </cell>
        </row>
        <row r="244">
          <cell r="A244">
            <v>43830</v>
          </cell>
          <cell r="B244">
            <v>331298877.00313085</v>
          </cell>
          <cell r="C244">
            <v>169507573.76647875</v>
          </cell>
          <cell r="D244">
            <v>500806450.76960957</v>
          </cell>
        </row>
        <row r="245">
          <cell r="A245">
            <v>43861</v>
          </cell>
          <cell r="B245">
            <v>347651417.06229508</v>
          </cell>
          <cell r="C245">
            <v>182181203.32657391</v>
          </cell>
          <cell r="D245">
            <v>529832620.38886899</v>
          </cell>
        </row>
        <row r="246">
          <cell r="A246">
            <v>43890</v>
          </cell>
          <cell r="B246">
            <v>351954238.27672714</v>
          </cell>
          <cell r="C246">
            <v>183968380.6477994</v>
          </cell>
          <cell r="D246">
            <v>535922618.92452657</v>
          </cell>
        </row>
        <row r="247">
          <cell r="A247">
            <v>43921</v>
          </cell>
          <cell r="B247">
            <v>352285242.52351195</v>
          </cell>
          <cell r="C247">
            <v>215454737.74830422</v>
          </cell>
          <cell r="D247">
            <v>567739980.27181613</v>
          </cell>
        </row>
        <row r="248">
          <cell r="A248">
            <v>43951</v>
          </cell>
          <cell r="B248">
            <v>350469690.42497772</v>
          </cell>
          <cell r="C248">
            <v>217474511.48852992</v>
          </cell>
          <cell r="D248">
            <v>567944201.9135077</v>
          </cell>
        </row>
        <row r="249">
          <cell r="A249">
            <v>43982</v>
          </cell>
          <cell r="B249">
            <v>367452406.29928088</v>
          </cell>
          <cell r="C249">
            <v>208492467.44221625</v>
          </cell>
          <cell r="D249">
            <v>575944873.74149716</v>
          </cell>
        </row>
        <row r="250">
          <cell r="A250">
            <v>44012</v>
          </cell>
          <cell r="B250">
            <v>365373950.15393728</v>
          </cell>
          <cell r="C250">
            <v>219728818.91332716</v>
          </cell>
          <cell r="D250">
            <v>585102769.06726444</v>
          </cell>
        </row>
        <row r="251">
          <cell r="A251">
            <v>44043</v>
          </cell>
          <cell r="B251">
            <v>370931558.44213754</v>
          </cell>
          <cell r="C251">
            <v>225351143.67614859</v>
          </cell>
          <cell r="D251">
            <v>596282702.11828613</v>
          </cell>
        </row>
        <row r="252">
          <cell r="A252">
            <v>44074</v>
          </cell>
          <cell r="B252">
            <v>376384401.65238076</v>
          </cell>
          <cell r="C252">
            <v>228617387.38408232</v>
          </cell>
          <cell r="D252">
            <v>605001789.03646302</v>
          </cell>
        </row>
        <row r="253">
          <cell r="A253">
            <v>44104</v>
          </cell>
          <cell r="B253">
            <v>381096820.58145112</v>
          </cell>
          <cell r="C253">
            <v>234887113.19756538</v>
          </cell>
          <cell r="D253">
            <v>615983933.77901649</v>
          </cell>
        </row>
        <row r="254">
          <cell r="A254">
            <v>44135</v>
          </cell>
          <cell r="B254">
            <v>386180461.83327019</v>
          </cell>
          <cell r="C254">
            <v>233180526.37496686</v>
          </cell>
          <cell r="D254">
            <v>619360988.20823705</v>
          </cell>
        </row>
        <row r="255">
          <cell r="A255">
            <v>44165</v>
          </cell>
          <cell r="B255">
            <v>392091792.56163651</v>
          </cell>
          <cell r="C255">
            <v>218991935.67227784</v>
          </cell>
          <cell r="D255">
            <v>611083728.23391438</v>
          </cell>
        </row>
        <row r="256">
          <cell r="A256">
            <v>44196</v>
          </cell>
          <cell r="B256">
            <v>389845971.68554145</v>
          </cell>
          <cell r="C256">
            <v>229745919.54330418</v>
          </cell>
          <cell r="D256">
            <v>619591891.2288456</v>
          </cell>
        </row>
        <row r="257">
          <cell r="A257">
            <v>44227</v>
          </cell>
          <cell r="B257">
            <v>388592268.10109806</v>
          </cell>
          <cell r="C257">
            <v>243591292.94700378</v>
          </cell>
          <cell r="D257">
            <v>632183561.0481019</v>
          </cell>
        </row>
        <row r="258">
          <cell r="A258">
            <v>44255</v>
          </cell>
          <cell r="B258">
            <v>395169322.78702408</v>
          </cell>
          <cell r="C258">
            <v>245304678.19802618</v>
          </cell>
          <cell r="D258">
            <v>640474000.9850502</v>
          </cell>
        </row>
        <row r="259">
          <cell r="A259">
            <v>44286</v>
          </cell>
          <cell r="B259">
            <v>395354161.14001</v>
          </cell>
          <cell r="C259">
            <v>250140159.59358084</v>
          </cell>
          <cell r="D259">
            <v>645494320.73359084</v>
          </cell>
        </row>
        <row r="260">
          <cell r="A260">
            <v>44316</v>
          </cell>
          <cell r="B260">
            <v>403017911.96624804</v>
          </cell>
          <cell r="C260">
            <v>258482085.82434815</v>
          </cell>
          <cell r="D260">
            <v>661499997.79059625</v>
          </cell>
        </row>
        <row r="261">
          <cell r="A261">
            <v>44347</v>
          </cell>
          <cell r="B261">
            <v>410119718.45473051</v>
          </cell>
          <cell r="C261">
            <v>258375728.10373014</v>
          </cell>
          <cell r="D261">
            <v>668495446.55846071</v>
          </cell>
        </row>
        <row r="262">
          <cell r="A262">
            <v>44377</v>
          </cell>
          <cell r="B262">
            <v>413470961.50356305</v>
          </cell>
          <cell r="C262">
            <v>262777531.42584035</v>
          </cell>
          <cell r="D262">
            <v>676248492.92940342</v>
          </cell>
        </row>
        <row r="263">
          <cell r="A263">
            <v>44408</v>
          </cell>
          <cell r="B263">
            <v>422013042.97502315</v>
          </cell>
          <cell r="C263">
            <v>268563420.63419247</v>
          </cell>
          <cell r="D263">
            <v>690576463.60921562</v>
          </cell>
        </row>
        <row r="264">
          <cell r="A264">
            <v>44439</v>
          </cell>
          <cell r="B264">
            <v>415886465.23872101</v>
          </cell>
          <cell r="C264">
            <v>265529619.1486201</v>
          </cell>
          <cell r="D264">
            <v>681416084.38734066</v>
          </cell>
        </row>
        <row r="265">
          <cell r="A265">
            <v>44469</v>
          </cell>
          <cell r="B265">
            <v>427554297.34803301</v>
          </cell>
          <cell r="C265">
            <v>267862234.31793031</v>
          </cell>
          <cell r="D265">
            <v>695416531.66596293</v>
          </cell>
        </row>
        <row r="266">
          <cell r="A266">
            <v>44500</v>
          </cell>
          <cell r="B266">
            <v>426842206.87081403</v>
          </cell>
          <cell r="C266">
            <v>268726974.82190108</v>
          </cell>
          <cell r="D266">
            <v>695569181.69271553</v>
          </cell>
        </row>
        <row r="267">
          <cell r="A267">
            <v>44530</v>
          </cell>
          <cell r="B267">
            <v>433553899.9596113</v>
          </cell>
          <cell r="C267">
            <v>287923158.82022101</v>
          </cell>
          <cell r="D267">
            <v>721477058.77983189</v>
          </cell>
        </row>
        <row r="268">
          <cell r="A268">
            <v>44561</v>
          </cell>
          <cell r="B268">
            <v>431911976.93860102</v>
          </cell>
          <cell r="C268">
            <v>292406808.27735585</v>
          </cell>
          <cell r="D268">
            <v>724318785.21595645</v>
          </cell>
        </row>
        <row r="269">
          <cell r="A269">
            <v>44592</v>
          </cell>
          <cell r="B269">
            <v>440175508.74623466</v>
          </cell>
          <cell r="C269">
            <v>291162922.51927221</v>
          </cell>
          <cell r="D269">
            <v>731338431.26550686</v>
          </cell>
        </row>
        <row r="270">
          <cell r="A270">
            <v>44620</v>
          </cell>
          <cell r="B270">
            <v>448526863.43583083</v>
          </cell>
          <cell r="C270">
            <v>286686755.37254226</v>
          </cell>
          <cell r="D270">
            <v>735213618.80837309</v>
          </cell>
        </row>
        <row r="271">
          <cell r="A271">
            <v>44651</v>
          </cell>
          <cell r="B271">
            <v>453346850.54077697</v>
          </cell>
          <cell r="C271">
            <v>274339150.04320383</v>
          </cell>
          <cell r="D271">
            <v>727686000.5839808</v>
          </cell>
        </row>
        <row r="272">
          <cell r="A272">
            <v>44681</v>
          </cell>
          <cell r="B272">
            <v>459674204.29042268</v>
          </cell>
          <cell r="C272">
            <v>287640476.37953138</v>
          </cell>
          <cell r="D272">
            <v>747314680.66995406</v>
          </cell>
        </row>
        <row r="273">
          <cell r="A273">
            <v>44712</v>
          </cell>
          <cell r="B273">
            <v>466798478.74760485</v>
          </cell>
          <cell r="C273">
            <v>286605667.35830963</v>
          </cell>
          <cell r="D273">
            <v>753404146.10591447</v>
          </cell>
        </row>
        <row r="274">
          <cell r="A274">
            <v>44742</v>
          </cell>
          <cell r="B274">
            <v>461856533.52132499</v>
          </cell>
          <cell r="C274">
            <v>302011059.22085047</v>
          </cell>
          <cell r="D274">
            <v>763867592.74217546</v>
          </cell>
        </row>
        <row r="275">
          <cell r="A275">
            <v>44773</v>
          </cell>
          <cell r="B275">
            <v>474058189.90676332</v>
          </cell>
          <cell r="C275">
            <v>315095026.24864733</v>
          </cell>
          <cell r="D275">
            <v>789153216.15541065</v>
          </cell>
        </row>
        <row r="276">
          <cell r="A276">
            <v>44804</v>
          </cell>
          <cell r="B276">
            <v>481587686.70462078</v>
          </cell>
          <cell r="C276">
            <v>323383804.6962167</v>
          </cell>
          <cell r="D276">
            <v>804971491.40083742</v>
          </cell>
        </row>
        <row r="277">
          <cell r="A277">
            <v>44834</v>
          </cell>
          <cell r="B277">
            <v>488647776.67771971</v>
          </cell>
          <cell r="C277">
            <v>332477514.83813965</v>
          </cell>
          <cell r="D277">
            <v>821125291.51585937</v>
          </cell>
        </row>
        <row r="278">
          <cell r="A278">
            <v>44865</v>
          </cell>
          <cell r="B278">
            <v>495855480.24192357</v>
          </cell>
          <cell r="C278">
            <v>353038059.90845466</v>
          </cell>
          <cell r="D278">
            <v>848893540.15037823</v>
          </cell>
        </row>
        <row r="279">
          <cell r="A279">
            <v>44895</v>
          </cell>
          <cell r="B279">
            <v>497659565.62253475</v>
          </cell>
          <cell r="C279">
            <v>355095948.26274663</v>
          </cell>
          <cell r="D279">
            <v>852755513.88528132</v>
          </cell>
        </row>
        <row r="280">
          <cell r="A280">
            <v>44926</v>
          </cell>
          <cell r="B280">
            <v>507274402.14266479</v>
          </cell>
          <cell r="C280">
            <v>365470273.52265549</v>
          </cell>
          <cell r="D280">
            <v>872744675.66532028</v>
          </cell>
        </row>
        <row r="281">
          <cell r="A281">
            <v>44957</v>
          </cell>
          <cell r="B281">
            <v>513946359.97277296</v>
          </cell>
          <cell r="C281">
            <v>353018742.60555553</v>
          </cell>
          <cell r="D281">
            <v>866965102.57832849</v>
          </cell>
        </row>
        <row r="282">
          <cell r="A282">
            <v>44985</v>
          </cell>
          <cell r="B282">
            <v>509550491.8739261</v>
          </cell>
          <cell r="C282">
            <v>373852531.2773602</v>
          </cell>
          <cell r="D282">
            <v>883403023.15128636</v>
          </cell>
        </row>
        <row r="283">
          <cell r="A283">
            <v>45016</v>
          </cell>
          <cell r="B283">
            <v>521861539.49655038</v>
          </cell>
          <cell r="C283">
            <v>356328664.45581001</v>
          </cell>
          <cell r="D283">
            <v>878190203.95236039</v>
          </cell>
        </row>
        <row r="284">
          <cell r="A284">
            <v>45046</v>
          </cell>
          <cell r="B284">
            <v>531976745.40691918</v>
          </cell>
          <cell r="C284">
            <v>359125228.88659579</v>
          </cell>
          <cell r="D284">
            <v>891101974.29351497</v>
          </cell>
        </row>
        <row r="285">
          <cell r="A285">
            <v>45077</v>
          </cell>
          <cell r="B285">
            <v>538927392.14540863</v>
          </cell>
          <cell r="C285">
            <v>337385404.89654762</v>
          </cell>
          <cell r="D285">
            <v>876312797.04195619</v>
          </cell>
        </row>
        <row r="286">
          <cell r="A286">
            <v>45107</v>
          </cell>
          <cell r="B286">
            <v>541204033.16541708</v>
          </cell>
          <cell r="C286">
            <v>321268837.82510805</v>
          </cell>
          <cell r="D286">
            <v>862472870.99052513</v>
          </cell>
        </row>
        <row r="287">
          <cell r="A287">
            <v>45138</v>
          </cell>
          <cell r="B287">
            <v>546003327.01656282</v>
          </cell>
          <cell r="C287">
            <v>301673923.92289931</v>
          </cell>
          <cell r="D287">
            <v>847677250.93946218</v>
          </cell>
        </row>
        <row r="288">
          <cell r="A288">
            <v>45169</v>
          </cell>
          <cell r="B288">
            <v>552383203.63442993</v>
          </cell>
          <cell r="C288">
            <v>312827193.05105203</v>
          </cell>
          <cell r="D288">
            <v>865210396.68548203</v>
          </cell>
        </row>
        <row r="289">
          <cell r="A289">
            <v>45199</v>
          </cell>
          <cell r="B289">
            <v>549730139.95509291</v>
          </cell>
          <cell r="C289">
            <v>312338043.02851456</v>
          </cell>
          <cell r="D289">
            <v>862068182.98360753</v>
          </cell>
        </row>
        <row r="290">
          <cell r="A290">
            <v>45230</v>
          </cell>
          <cell r="B290">
            <v>562865139.26452851</v>
          </cell>
          <cell r="C290">
            <v>309430485.88152635</v>
          </cell>
          <cell r="D290">
            <v>872295625.14605486</v>
          </cell>
        </row>
        <row r="291">
          <cell r="A291">
            <v>45260</v>
          </cell>
          <cell r="B291">
            <v>566145930.1444118</v>
          </cell>
          <cell r="C291">
            <v>315853047.89682388</v>
          </cell>
          <cell r="D291">
            <v>881998978.04123569</v>
          </cell>
        </row>
        <row r="292">
          <cell r="A292">
            <v>45291</v>
          </cell>
          <cell r="B292">
            <v>559325607.31749594</v>
          </cell>
          <cell r="C292">
            <v>306707695.71847492</v>
          </cell>
          <cell r="D292">
            <v>866033303.03597093</v>
          </cell>
        </row>
        <row r="293">
          <cell r="A293">
            <v>45322</v>
          </cell>
          <cell r="B293">
            <v>563415269.835742</v>
          </cell>
          <cell r="C293">
            <v>314575667.39401472</v>
          </cell>
          <cell r="D293">
            <v>877971326.7847569</v>
          </cell>
        </row>
        <row r="294">
          <cell r="A294">
            <v>45350</v>
          </cell>
          <cell r="B294">
            <v>577611443.33286178</v>
          </cell>
          <cell r="C294">
            <v>314755135.65642297</v>
          </cell>
          <cell r="D294">
            <v>892366578.98928475</v>
          </cell>
        </row>
        <row r="295">
          <cell r="A295">
            <v>45382</v>
          </cell>
          <cell r="B295">
            <v>580752455.69863665</v>
          </cell>
          <cell r="C295">
            <v>306729066.39501399</v>
          </cell>
          <cell r="D295">
            <v>887481522.09365058</v>
          </cell>
        </row>
        <row r="296">
          <cell r="A296">
            <v>45412</v>
          </cell>
          <cell r="B296">
            <v>594626557.41270292</v>
          </cell>
          <cell r="C296">
            <v>313571353.82684374</v>
          </cell>
          <cell r="D296">
            <v>908197911.23954666</v>
          </cell>
        </row>
        <row r="297">
          <cell r="A297">
            <v>45443</v>
          </cell>
          <cell r="B297">
            <v>603935972.80373967</v>
          </cell>
          <cell r="C297">
            <v>309472104.12425333</v>
          </cell>
          <cell r="D297">
            <v>913408076.92799306</v>
          </cell>
        </row>
        <row r="298">
          <cell r="A298">
            <v>45473</v>
          </cell>
          <cell r="B298">
            <v>617766092.97960186</v>
          </cell>
          <cell r="C298">
            <v>330250843.96358514</v>
          </cell>
          <cell r="D298">
            <v>948016936.943187</v>
          </cell>
        </row>
      </sheetData>
      <sheetData sheetId="2" refreshError="1"/>
      <sheetData sheetId="3">
        <row r="22">
          <cell r="A22" t="str">
            <v>Corte a</v>
          </cell>
        </row>
        <row r="23">
          <cell r="A23">
            <v>37072</v>
          </cell>
        </row>
        <row r="24">
          <cell r="A24">
            <v>37103</v>
          </cell>
        </row>
        <row r="25">
          <cell r="A25">
            <v>37134</v>
          </cell>
        </row>
        <row r="26">
          <cell r="A26">
            <v>37164</v>
          </cell>
        </row>
        <row r="27">
          <cell r="A27">
            <v>37195</v>
          </cell>
        </row>
        <row r="28">
          <cell r="A28">
            <v>37225</v>
          </cell>
        </row>
        <row r="29">
          <cell r="A29">
            <v>37256</v>
          </cell>
        </row>
        <row r="30">
          <cell r="A30">
            <v>37287</v>
          </cell>
        </row>
        <row r="31">
          <cell r="A31">
            <v>37315</v>
          </cell>
        </row>
        <row r="32">
          <cell r="A32">
            <v>37346</v>
          </cell>
        </row>
        <row r="33">
          <cell r="A33">
            <v>37376</v>
          </cell>
        </row>
        <row r="34">
          <cell r="A34">
            <v>37407</v>
          </cell>
        </row>
        <row r="35">
          <cell r="A35">
            <v>37437</v>
          </cell>
        </row>
        <row r="36">
          <cell r="A36">
            <v>37468</v>
          </cell>
        </row>
        <row r="37">
          <cell r="A37">
            <v>37499</v>
          </cell>
        </row>
        <row r="38">
          <cell r="A38">
            <v>37529</v>
          </cell>
        </row>
        <row r="39">
          <cell r="A39">
            <v>37560</v>
          </cell>
        </row>
        <row r="40">
          <cell r="A40">
            <v>37590</v>
          </cell>
        </row>
        <row r="41">
          <cell r="A41">
            <v>37621</v>
          </cell>
        </row>
        <row r="42">
          <cell r="A42">
            <v>37652</v>
          </cell>
        </row>
        <row r="43">
          <cell r="A43">
            <v>37680</v>
          </cell>
        </row>
        <row r="44">
          <cell r="A44">
            <v>37711</v>
          </cell>
        </row>
        <row r="45">
          <cell r="A45">
            <v>37741</v>
          </cell>
        </row>
        <row r="46">
          <cell r="A46">
            <v>37772</v>
          </cell>
        </row>
        <row r="47">
          <cell r="A47">
            <v>37802</v>
          </cell>
        </row>
        <row r="48">
          <cell r="A48">
            <v>37833</v>
          </cell>
        </row>
        <row r="49">
          <cell r="A49">
            <v>37864</v>
          </cell>
        </row>
        <row r="50">
          <cell r="A50">
            <v>37894</v>
          </cell>
        </row>
        <row r="51">
          <cell r="A51">
            <v>37925</v>
          </cell>
        </row>
        <row r="52">
          <cell r="A52">
            <v>37955</v>
          </cell>
        </row>
        <row r="53">
          <cell r="A53">
            <v>37986</v>
          </cell>
        </row>
        <row r="54">
          <cell r="A54">
            <v>38017</v>
          </cell>
          <cell r="B54">
            <v>0.82398730360448069</v>
          </cell>
          <cell r="C54">
            <v>6.2642273837108367E-2</v>
          </cell>
          <cell r="D54">
            <v>3.4518998501297506E-2</v>
          </cell>
          <cell r="E54">
            <v>3.2992934904859904E-2</v>
          </cell>
          <cell r="F54">
            <v>1.7811344809274002E-2</v>
          </cell>
          <cell r="G54">
            <v>2.0740906315551387E-2</v>
          </cell>
          <cell r="H54">
            <v>1.8041915528074415E-4</v>
          </cell>
          <cell r="J54">
            <v>3.6758517948503621E-3</v>
          </cell>
        </row>
        <row r="55">
          <cell r="A55">
            <v>38046</v>
          </cell>
        </row>
        <row r="56">
          <cell r="A56">
            <v>38077</v>
          </cell>
        </row>
        <row r="57">
          <cell r="A57">
            <v>38107</v>
          </cell>
        </row>
        <row r="58">
          <cell r="A58">
            <v>38138</v>
          </cell>
        </row>
        <row r="59">
          <cell r="A59">
            <v>38168</v>
          </cell>
        </row>
        <row r="60">
          <cell r="A60">
            <v>38199</v>
          </cell>
        </row>
        <row r="61">
          <cell r="A61">
            <v>38230</v>
          </cell>
        </row>
        <row r="62">
          <cell r="A62">
            <v>38260</v>
          </cell>
        </row>
        <row r="63">
          <cell r="A63">
            <v>38291</v>
          </cell>
        </row>
        <row r="64">
          <cell r="A64">
            <v>38321</v>
          </cell>
        </row>
        <row r="65">
          <cell r="A65">
            <v>38352</v>
          </cell>
        </row>
        <row r="66">
          <cell r="A66">
            <v>38383</v>
          </cell>
        </row>
        <row r="67">
          <cell r="A67">
            <v>38411</v>
          </cell>
        </row>
        <row r="68">
          <cell r="A68">
            <v>38442</v>
          </cell>
        </row>
        <row r="69">
          <cell r="A69">
            <v>38472</v>
          </cell>
        </row>
        <row r="70">
          <cell r="A70">
            <v>38503</v>
          </cell>
        </row>
        <row r="71">
          <cell r="A71">
            <v>38533</v>
          </cell>
        </row>
        <row r="72">
          <cell r="A72">
            <v>38564</v>
          </cell>
        </row>
        <row r="73">
          <cell r="A73">
            <v>38595</v>
          </cell>
        </row>
        <row r="74">
          <cell r="A74">
            <v>38625</v>
          </cell>
        </row>
        <row r="75">
          <cell r="A75">
            <v>38656</v>
          </cell>
        </row>
        <row r="76">
          <cell r="A76">
            <v>38686</v>
          </cell>
        </row>
        <row r="77">
          <cell r="A77">
            <v>38717</v>
          </cell>
        </row>
        <row r="78">
          <cell r="A78">
            <v>38748</v>
          </cell>
        </row>
        <row r="79">
          <cell r="A79">
            <v>38776</v>
          </cell>
        </row>
        <row r="80">
          <cell r="A80">
            <v>38807</v>
          </cell>
        </row>
        <row r="81">
          <cell r="A81">
            <v>38837</v>
          </cell>
        </row>
        <row r="82">
          <cell r="A82">
            <v>38868</v>
          </cell>
        </row>
        <row r="83">
          <cell r="A83">
            <v>38898</v>
          </cell>
        </row>
        <row r="84">
          <cell r="A84">
            <v>38929</v>
          </cell>
        </row>
        <row r="85">
          <cell r="A85">
            <v>38960</v>
          </cell>
        </row>
        <row r="86">
          <cell r="A86">
            <v>38990</v>
          </cell>
        </row>
        <row r="87">
          <cell r="A87">
            <v>39021</v>
          </cell>
        </row>
        <row r="88">
          <cell r="A88">
            <v>39051</v>
          </cell>
        </row>
        <row r="89">
          <cell r="A89">
            <v>39082</v>
          </cell>
        </row>
        <row r="90">
          <cell r="A90">
            <v>39113</v>
          </cell>
        </row>
        <row r="91">
          <cell r="A91">
            <v>39141</v>
          </cell>
        </row>
        <row r="92">
          <cell r="A92">
            <v>39172</v>
          </cell>
        </row>
        <row r="93">
          <cell r="A93">
            <v>39202</v>
          </cell>
        </row>
        <row r="94">
          <cell r="A94">
            <v>39203</v>
          </cell>
        </row>
        <row r="95">
          <cell r="A95">
            <v>39263</v>
          </cell>
        </row>
        <row r="96">
          <cell r="A96">
            <v>39294</v>
          </cell>
        </row>
        <row r="97">
          <cell r="A97">
            <v>39325</v>
          </cell>
        </row>
        <row r="98">
          <cell r="A98">
            <v>39355</v>
          </cell>
        </row>
        <row r="99">
          <cell r="A99">
            <v>39386</v>
          </cell>
        </row>
        <row r="100">
          <cell r="A100">
            <v>39416</v>
          </cell>
        </row>
        <row r="101">
          <cell r="A101">
            <v>39447</v>
          </cell>
        </row>
        <row r="102">
          <cell r="A102">
            <v>39478</v>
          </cell>
        </row>
        <row r="103">
          <cell r="A103">
            <v>39507</v>
          </cell>
        </row>
        <row r="104">
          <cell r="A104">
            <v>39538</v>
          </cell>
        </row>
        <row r="105">
          <cell r="A105">
            <v>39568</v>
          </cell>
        </row>
        <row r="106">
          <cell r="A106">
            <v>39599</v>
          </cell>
        </row>
        <row r="107">
          <cell r="A107">
            <v>39629</v>
          </cell>
        </row>
        <row r="108">
          <cell r="A108">
            <v>39660</v>
          </cell>
        </row>
        <row r="109">
          <cell r="A109">
            <v>39691</v>
          </cell>
        </row>
        <row r="110">
          <cell r="A110">
            <v>39721</v>
          </cell>
        </row>
        <row r="111">
          <cell r="A111">
            <v>39752</v>
          </cell>
        </row>
        <row r="112">
          <cell r="A112">
            <v>39782</v>
          </cell>
        </row>
        <row r="113">
          <cell r="A113">
            <v>39813</v>
          </cell>
        </row>
        <row r="114">
          <cell r="A114">
            <v>39814</v>
          </cell>
        </row>
        <row r="115">
          <cell r="A115">
            <v>39846</v>
          </cell>
        </row>
        <row r="116">
          <cell r="A116">
            <v>39875</v>
          </cell>
        </row>
        <row r="117">
          <cell r="A117">
            <v>39933</v>
          </cell>
        </row>
        <row r="118">
          <cell r="A118">
            <v>39964</v>
          </cell>
        </row>
        <row r="119">
          <cell r="A119">
            <v>39994</v>
          </cell>
        </row>
        <row r="120">
          <cell r="A120">
            <v>40025</v>
          </cell>
        </row>
        <row r="121">
          <cell r="A121">
            <v>40056</v>
          </cell>
        </row>
        <row r="122">
          <cell r="A122">
            <v>40086</v>
          </cell>
        </row>
        <row r="123">
          <cell r="A123">
            <v>40117</v>
          </cell>
        </row>
        <row r="124">
          <cell r="A124">
            <v>40147</v>
          </cell>
        </row>
        <row r="125">
          <cell r="A125">
            <v>40178</v>
          </cell>
        </row>
        <row r="126">
          <cell r="A126">
            <v>40209</v>
          </cell>
        </row>
        <row r="127">
          <cell r="A127">
            <v>40237</v>
          </cell>
        </row>
        <row r="128">
          <cell r="A128">
            <v>40268</v>
          </cell>
        </row>
        <row r="129">
          <cell r="A129">
            <v>40298</v>
          </cell>
        </row>
        <row r="130">
          <cell r="A130">
            <v>40329</v>
          </cell>
        </row>
        <row r="131">
          <cell r="A131">
            <v>40359</v>
          </cell>
        </row>
        <row r="132">
          <cell r="A132">
            <v>40390</v>
          </cell>
        </row>
        <row r="133">
          <cell r="A133">
            <v>40421</v>
          </cell>
        </row>
        <row r="134">
          <cell r="A134">
            <v>40451</v>
          </cell>
        </row>
        <row r="135">
          <cell r="A135">
            <v>40482</v>
          </cell>
        </row>
        <row r="136">
          <cell r="A136">
            <v>40512</v>
          </cell>
        </row>
        <row r="137">
          <cell r="A137">
            <v>40543</v>
          </cell>
        </row>
        <row r="138">
          <cell r="A138">
            <v>40574</v>
          </cell>
        </row>
        <row r="139">
          <cell r="A139">
            <v>40602</v>
          </cell>
        </row>
        <row r="140">
          <cell r="A140">
            <v>40633</v>
          </cell>
        </row>
        <row r="141">
          <cell r="A141">
            <v>40663</v>
          </cell>
        </row>
        <row r="142">
          <cell r="A142">
            <v>40694</v>
          </cell>
        </row>
        <row r="143">
          <cell r="A143">
            <v>40724</v>
          </cell>
        </row>
        <row r="144">
          <cell r="A144">
            <v>40755</v>
          </cell>
        </row>
        <row r="145">
          <cell r="A145">
            <v>40786</v>
          </cell>
        </row>
        <row r="146">
          <cell r="A146">
            <v>40816</v>
          </cell>
        </row>
        <row r="147">
          <cell r="A147">
            <v>40847</v>
          </cell>
        </row>
        <row r="148">
          <cell r="A148">
            <v>40877</v>
          </cell>
        </row>
        <row r="149">
          <cell r="A149">
            <v>40878</v>
          </cell>
        </row>
        <row r="150">
          <cell r="A150">
            <v>40909</v>
          </cell>
        </row>
        <row r="151">
          <cell r="A151">
            <v>40940</v>
          </cell>
        </row>
        <row r="152">
          <cell r="A152">
            <v>40969</v>
          </cell>
        </row>
        <row r="153">
          <cell r="A153">
            <v>41000</v>
          </cell>
        </row>
        <row r="154">
          <cell r="A154">
            <v>41030</v>
          </cell>
        </row>
        <row r="155">
          <cell r="A155">
            <v>41061</v>
          </cell>
        </row>
        <row r="156">
          <cell r="A156">
            <v>41091</v>
          </cell>
        </row>
        <row r="157">
          <cell r="A157">
            <v>41122</v>
          </cell>
        </row>
        <row r="158">
          <cell r="A158">
            <v>41182</v>
          </cell>
        </row>
        <row r="159">
          <cell r="A159">
            <v>41213</v>
          </cell>
        </row>
        <row r="160">
          <cell r="A160">
            <v>41243</v>
          </cell>
        </row>
        <row r="161">
          <cell r="A161">
            <v>41274</v>
          </cell>
        </row>
        <row r="162">
          <cell r="A162">
            <v>41275</v>
          </cell>
        </row>
        <row r="163">
          <cell r="A163">
            <v>41306</v>
          </cell>
        </row>
        <row r="164">
          <cell r="A164">
            <v>41334</v>
          </cell>
        </row>
        <row r="165">
          <cell r="A165">
            <v>41365</v>
          </cell>
        </row>
        <row r="166">
          <cell r="A166">
            <v>41425</v>
          </cell>
        </row>
        <row r="167">
          <cell r="A167">
            <v>41455</v>
          </cell>
        </row>
        <row r="168">
          <cell r="A168">
            <v>41486</v>
          </cell>
        </row>
        <row r="169">
          <cell r="A169">
            <v>41517</v>
          </cell>
        </row>
        <row r="170">
          <cell r="A170">
            <v>41547</v>
          </cell>
        </row>
        <row r="171">
          <cell r="A171">
            <v>41578</v>
          </cell>
        </row>
        <row r="172">
          <cell r="A172">
            <v>41608</v>
          </cell>
        </row>
        <row r="173">
          <cell r="A173">
            <v>41639</v>
          </cell>
        </row>
        <row r="174">
          <cell r="A174">
            <v>41670</v>
          </cell>
        </row>
        <row r="175">
          <cell r="A175">
            <v>41698</v>
          </cell>
        </row>
        <row r="176">
          <cell r="A176">
            <v>41729</v>
          </cell>
        </row>
        <row r="177">
          <cell r="A177">
            <v>41759</v>
          </cell>
        </row>
        <row r="178">
          <cell r="A178">
            <v>41790</v>
          </cell>
        </row>
        <row r="179">
          <cell r="A179">
            <v>41820</v>
          </cell>
        </row>
        <row r="180">
          <cell r="A180">
            <v>41851</v>
          </cell>
        </row>
        <row r="181">
          <cell r="A181">
            <v>41882</v>
          </cell>
        </row>
        <row r="182">
          <cell r="A182">
            <v>41912</v>
          </cell>
        </row>
        <row r="183">
          <cell r="A183">
            <v>41943</v>
          </cell>
        </row>
        <row r="184">
          <cell r="A184">
            <v>41973</v>
          </cell>
        </row>
        <row r="185">
          <cell r="A185">
            <v>42004</v>
          </cell>
        </row>
        <row r="186">
          <cell r="A186">
            <v>42035</v>
          </cell>
        </row>
        <row r="187">
          <cell r="A187">
            <v>42063</v>
          </cell>
        </row>
        <row r="188">
          <cell r="A188">
            <v>42094</v>
          </cell>
        </row>
        <row r="189">
          <cell r="A189">
            <v>42124</v>
          </cell>
        </row>
        <row r="190">
          <cell r="A190">
            <v>42155</v>
          </cell>
        </row>
        <row r="191">
          <cell r="A191">
            <v>42185</v>
          </cell>
        </row>
        <row r="192">
          <cell r="A192">
            <v>42216</v>
          </cell>
        </row>
        <row r="193">
          <cell r="A193">
            <v>42247</v>
          </cell>
        </row>
        <row r="194">
          <cell r="A194">
            <v>42277</v>
          </cell>
        </row>
        <row r="195">
          <cell r="A195">
            <v>42308</v>
          </cell>
        </row>
        <row r="196">
          <cell r="A196">
            <v>42338</v>
          </cell>
        </row>
        <row r="197">
          <cell r="A197">
            <v>42369</v>
          </cell>
        </row>
        <row r="198">
          <cell r="A198">
            <v>42400</v>
          </cell>
        </row>
        <row r="199">
          <cell r="A199">
            <v>42429</v>
          </cell>
        </row>
        <row r="200">
          <cell r="A200">
            <v>42460</v>
          </cell>
        </row>
        <row r="201">
          <cell r="A201">
            <v>42490</v>
          </cell>
        </row>
        <row r="202">
          <cell r="A202">
            <v>42521</v>
          </cell>
        </row>
        <row r="203">
          <cell r="A203">
            <v>42551</v>
          </cell>
        </row>
        <row r="204">
          <cell r="A204">
            <v>42582</v>
          </cell>
        </row>
        <row r="205">
          <cell r="A205">
            <v>42613</v>
          </cell>
        </row>
        <row r="206">
          <cell r="A206">
            <v>42643</v>
          </cell>
        </row>
        <row r="207">
          <cell r="A207">
            <v>42674</v>
          </cell>
        </row>
        <row r="208">
          <cell r="A208">
            <v>42704</v>
          </cell>
        </row>
        <row r="209">
          <cell r="A209">
            <v>42735</v>
          </cell>
        </row>
        <row r="210">
          <cell r="A210">
            <v>42766</v>
          </cell>
        </row>
        <row r="211">
          <cell r="A211">
            <v>42794</v>
          </cell>
        </row>
        <row r="212">
          <cell r="A212">
            <v>42825</v>
          </cell>
        </row>
        <row r="213">
          <cell r="A213">
            <v>42855</v>
          </cell>
        </row>
        <row r="214">
          <cell r="A214">
            <v>42886</v>
          </cell>
        </row>
        <row r="215">
          <cell r="A215">
            <v>42916</v>
          </cell>
        </row>
        <row r="216">
          <cell r="A216">
            <v>42947</v>
          </cell>
        </row>
        <row r="217">
          <cell r="A217">
            <v>42978</v>
          </cell>
        </row>
        <row r="218">
          <cell r="A218">
            <v>43008</v>
          </cell>
        </row>
        <row r="219">
          <cell r="A219">
            <v>43039</v>
          </cell>
        </row>
        <row r="220">
          <cell r="A220">
            <v>43069</v>
          </cell>
        </row>
        <row r="221">
          <cell r="A221">
            <v>43100</v>
          </cell>
        </row>
        <row r="222">
          <cell r="A222">
            <v>43131</v>
          </cell>
        </row>
        <row r="223">
          <cell r="A223">
            <v>43159</v>
          </cell>
        </row>
        <row r="224">
          <cell r="A224">
            <v>43190</v>
          </cell>
        </row>
        <row r="225">
          <cell r="A225">
            <v>43220</v>
          </cell>
        </row>
        <row r="226">
          <cell r="A226">
            <v>43251</v>
          </cell>
        </row>
        <row r="227">
          <cell r="A227">
            <v>43281</v>
          </cell>
        </row>
        <row r="228">
          <cell r="A228">
            <v>43312</v>
          </cell>
        </row>
        <row r="229">
          <cell r="A229">
            <v>43343</v>
          </cell>
        </row>
        <row r="230">
          <cell r="A230">
            <v>43373</v>
          </cell>
        </row>
        <row r="231">
          <cell r="A231">
            <v>43404</v>
          </cell>
        </row>
        <row r="232">
          <cell r="A232">
            <v>43434</v>
          </cell>
        </row>
        <row r="233">
          <cell r="A233">
            <v>43435</v>
          </cell>
        </row>
        <row r="234">
          <cell r="A234">
            <v>43496</v>
          </cell>
        </row>
        <row r="235">
          <cell r="A235">
            <v>43524</v>
          </cell>
        </row>
        <row r="236">
          <cell r="A236">
            <v>43555</v>
          </cell>
        </row>
        <row r="237">
          <cell r="A237">
            <v>43585</v>
          </cell>
        </row>
        <row r="238">
          <cell r="A238">
            <v>43616</v>
          </cell>
        </row>
        <row r="239">
          <cell r="A239">
            <v>43646</v>
          </cell>
        </row>
        <row r="240">
          <cell r="A240">
            <v>43677</v>
          </cell>
        </row>
        <row r="241">
          <cell r="A241">
            <v>43708</v>
          </cell>
        </row>
        <row r="242">
          <cell r="A242">
            <v>43738</v>
          </cell>
        </row>
        <row r="243">
          <cell r="A243">
            <v>43769</v>
          </cell>
        </row>
        <row r="244">
          <cell r="A244">
            <v>43799</v>
          </cell>
        </row>
        <row r="245">
          <cell r="A245">
            <v>43830</v>
          </cell>
        </row>
        <row r="246">
          <cell r="A246">
            <v>43861</v>
          </cell>
        </row>
        <row r="247">
          <cell r="A247">
            <v>43890</v>
          </cell>
        </row>
        <row r="248">
          <cell r="A248">
            <v>43921</v>
          </cell>
        </row>
        <row r="249">
          <cell r="A249">
            <v>43951</v>
          </cell>
        </row>
        <row r="250">
          <cell r="A250">
            <v>43982</v>
          </cell>
        </row>
        <row r="251">
          <cell r="A251">
            <v>44012</v>
          </cell>
        </row>
        <row r="252">
          <cell r="A252">
            <v>44043</v>
          </cell>
        </row>
        <row r="253">
          <cell r="A253">
            <v>44074</v>
          </cell>
        </row>
        <row r="254">
          <cell r="A254">
            <v>44104</v>
          </cell>
        </row>
        <row r="255">
          <cell r="A255">
            <v>44135</v>
          </cell>
        </row>
        <row r="256">
          <cell r="A256">
            <v>44165</v>
          </cell>
        </row>
        <row r="257">
          <cell r="A257">
            <v>44196</v>
          </cell>
        </row>
        <row r="258">
          <cell r="A258">
            <v>44227</v>
          </cell>
        </row>
        <row r="259">
          <cell r="A259">
            <v>44255</v>
          </cell>
        </row>
        <row r="260">
          <cell r="A260">
            <v>44286</v>
          </cell>
        </row>
        <row r="261">
          <cell r="A261">
            <v>44316</v>
          </cell>
        </row>
        <row r="262">
          <cell r="A262">
            <v>44347</v>
          </cell>
        </row>
        <row r="263">
          <cell r="A263">
            <v>44377</v>
          </cell>
        </row>
        <row r="264">
          <cell r="A264">
            <v>44408</v>
          </cell>
        </row>
        <row r="265">
          <cell r="A265">
            <v>44439</v>
          </cell>
        </row>
        <row r="266">
          <cell r="A266">
            <v>44469</v>
          </cell>
        </row>
        <row r="267">
          <cell r="A267">
            <v>44500</v>
          </cell>
        </row>
        <row r="268">
          <cell r="A268">
            <v>44530</v>
          </cell>
        </row>
        <row r="269">
          <cell r="A269">
            <v>44561</v>
          </cell>
        </row>
        <row r="270">
          <cell r="A270">
            <v>44592</v>
          </cell>
        </row>
        <row r="271">
          <cell r="A271">
            <v>44620</v>
          </cell>
        </row>
        <row r="272">
          <cell r="A272">
            <v>44651</v>
          </cell>
        </row>
        <row r="273">
          <cell r="A273">
            <v>44681</v>
          </cell>
        </row>
        <row r="274">
          <cell r="A274">
            <v>44712</v>
          </cell>
        </row>
        <row r="275">
          <cell r="A275">
            <v>44742</v>
          </cell>
        </row>
        <row r="276">
          <cell r="A276">
            <v>44773</v>
          </cell>
        </row>
        <row r="277">
          <cell r="A277">
            <v>44804</v>
          </cell>
        </row>
        <row r="278">
          <cell r="A278">
            <v>44834</v>
          </cell>
        </row>
        <row r="279">
          <cell r="A279">
            <v>44865</v>
          </cell>
        </row>
        <row r="280">
          <cell r="A280">
            <v>44895</v>
          </cell>
        </row>
        <row r="281">
          <cell r="A281">
            <v>44926</v>
          </cell>
        </row>
        <row r="282">
          <cell r="A282">
            <v>44957</v>
          </cell>
        </row>
        <row r="283">
          <cell r="A283">
            <v>44985</v>
          </cell>
        </row>
        <row r="284">
          <cell r="A284">
            <v>45016</v>
          </cell>
        </row>
        <row r="285">
          <cell r="A285">
            <v>45046</v>
          </cell>
        </row>
        <row r="286">
          <cell r="A286">
            <v>45077</v>
          </cell>
        </row>
        <row r="287">
          <cell r="A287">
            <v>45107</v>
          </cell>
        </row>
        <row r="288">
          <cell r="A288">
            <v>45138</v>
          </cell>
        </row>
        <row r="289">
          <cell r="A289">
            <v>45169</v>
          </cell>
        </row>
        <row r="290">
          <cell r="A290">
            <v>45199</v>
          </cell>
        </row>
        <row r="291">
          <cell r="A291">
            <v>45230</v>
          </cell>
        </row>
        <row r="292">
          <cell r="A292">
            <v>45260</v>
          </cell>
        </row>
        <row r="293">
          <cell r="A293">
            <v>45291</v>
          </cell>
        </row>
        <row r="294">
          <cell r="A294">
            <v>45322</v>
          </cell>
        </row>
        <row r="295">
          <cell r="A295">
            <v>45350</v>
          </cell>
        </row>
        <row r="296">
          <cell r="A296">
            <v>45382</v>
          </cell>
        </row>
        <row r="297">
          <cell r="A297">
            <v>45412</v>
          </cell>
        </row>
        <row r="298">
          <cell r="A298">
            <v>45443</v>
          </cell>
        </row>
        <row r="299">
          <cell r="A299">
            <v>45473</v>
          </cell>
        </row>
      </sheetData>
      <sheetData sheetId="4" refreshError="1"/>
      <sheetData sheetId="5">
        <row r="22">
          <cell r="A22" t="str">
            <v>Fecha corte</v>
          </cell>
        </row>
        <row r="23">
          <cell r="A23">
            <v>37072</v>
          </cell>
        </row>
        <row r="24">
          <cell r="A24">
            <v>37103</v>
          </cell>
        </row>
        <row r="25">
          <cell r="A25">
            <v>37134</v>
          </cell>
        </row>
        <row r="26">
          <cell r="A26">
            <v>37164</v>
          </cell>
        </row>
        <row r="27">
          <cell r="A27">
            <v>37195</v>
          </cell>
        </row>
        <row r="28">
          <cell r="A28">
            <v>37225</v>
          </cell>
        </row>
        <row r="29">
          <cell r="A29">
            <v>37256</v>
          </cell>
        </row>
        <row r="30">
          <cell r="A30">
            <v>37287</v>
          </cell>
        </row>
        <row r="31">
          <cell r="A31">
            <v>37315</v>
          </cell>
        </row>
        <row r="32">
          <cell r="A32">
            <v>37346</v>
          </cell>
        </row>
        <row r="33">
          <cell r="A33">
            <v>37376</v>
          </cell>
        </row>
        <row r="34">
          <cell r="A34">
            <v>37407</v>
          </cell>
        </row>
        <row r="35">
          <cell r="A35">
            <v>37437</v>
          </cell>
        </row>
        <row r="36">
          <cell r="A36">
            <v>37468</v>
          </cell>
        </row>
        <row r="37">
          <cell r="A37">
            <v>37499</v>
          </cell>
        </row>
        <row r="38">
          <cell r="A38">
            <v>37529</v>
          </cell>
        </row>
        <row r="39">
          <cell r="A39">
            <v>37560</v>
          </cell>
        </row>
        <row r="40">
          <cell r="A40">
            <v>37590</v>
          </cell>
        </row>
        <row r="41">
          <cell r="A41">
            <v>37621</v>
          </cell>
        </row>
        <row r="42">
          <cell r="A42">
            <v>37652</v>
          </cell>
        </row>
        <row r="43">
          <cell r="A43">
            <v>37680</v>
          </cell>
        </row>
        <row r="44">
          <cell r="A44">
            <v>37711</v>
          </cell>
        </row>
        <row r="45">
          <cell r="A45">
            <v>37741</v>
          </cell>
        </row>
        <row r="46">
          <cell r="A46">
            <v>37772</v>
          </cell>
        </row>
        <row r="47">
          <cell r="A47">
            <v>37802</v>
          </cell>
        </row>
        <row r="48">
          <cell r="A48">
            <v>37833</v>
          </cell>
        </row>
        <row r="49">
          <cell r="A49">
            <v>37864</v>
          </cell>
        </row>
        <row r="50">
          <cell r="A50">
            <v>37894</v>
          </cell>
        </row>
        <row r="51">
          <cell r="A51">
            <v>37925</v>
          </cell>
        </row>
        <row r="52">
          <cell r="A52">
            <v>37955</v>
          </cell>
        </row>
        <row r="53">
          <cell r="A53">
            <v>37986</v>
          </cell>
        </row>
        <row r="54">
          <cell r="A54">
            <v>38017</v>
          </cell>
          <cell r="B54">
            <v>0.42759362567915277</v>
          </cell>
          <cell r="C54">
            <v>0.26801874105446843</v>
          </cell>
          <cell r="D54">
            <v>9.8574822765322631E-2</v>
          </cell>
          <cell r="E54">
            <v>5.9708169282170459E-2</v>
          </cell>
          <cell r="F54">
            <v>2.8005959444751271E-2</v>
          </cell>
          <cell r="G54">
            <v>1.8040799629774111E-2</v>
          </cell>
          <cell r="H54">
            <v>1.7913023246129998E-2</v>
          </cell>
          <cell r="I54">
            <v>3.2507099167213241E-2</v>
          </cell>
          <cell r="J54">
            <v>9.2428821074101962E-3</v>
          </cell>
          <cell r="K54">
            <v>1.712109955584588E-2</v>
          </cell>
          <cell r="L54">
            <v>1.0763126194472625E-2</v>
          </cell>
          <cell r="N54">
            <v>3.7914428954872368E-3</v>
          </cell>
          <cell r="O54">
            <v>8.7192089778010736E-3</v>
          </cell>
        </row>
        <row r="55">
          <cell r="A55">
            <v>38046</v>
          </cell>
        </row>
        <row r="56">
          <cell r="A56">
            <v>38077</v>
          </cell>
        </row>
        <row r="57">
          <cell r="A57">
            <v>38107</v>
          </cell>
        </row>
        <row r="58">
          <cell r="A58">
            <v>38138</v>
          </cell>
        </row>
        <row r="59">
          <cell r="A59">
            <v>38168</v>
          </cell>
        </row>
        <row r="60">
          <cell r="A60">
            <v>38199</v>
          </cell>
        </row>
        <row r="61">
          <cell r="A61">
            <v>38230</v>
          </cell>
        </row>
        <row r="62">
          <cell r="A62">
            <v>38260</v>
          </cell>
        </row>
        <row r="63">
          <cell r="A63">
            <v>38291</v>
          </cell>
        </row>
        <row r="64">
          <cell r="A64">
            <v>38321</v>
          </cell>
        </row>
        <row r="65">
          <cell r="A65">
            <v>38352</v>
          </cell>
        </row>
        <row r="66">
          <cell r="A66">
            <v>38383</v>
          </cell>
        </row>
        <row r="67">
          <cell r="A67">
            <v>38411</v>
          </cell>
        </row>
        <row r="68">
          <cell r="A68">
            <v>38442</v>
          </cell>
        </row>
        <row r="69">
          <cell r="A69">
            <v>38472</v>
          </cell>
        </row>
        <row r="70">
          <cell r="A70">
            <v>38503</v>
          </cell>
        </row>
        <row r="71">
          <cell r="A71">
            <v>38533</v>
          </cell>
        </row>
        <row r="72">
          <cell r="A72">
            <v>38564</v>
          </cell>
        </row>
        <row r="73">
          <cell r="A73">
            <v>38595</v>
          </cell>
        </row>
        <row r="74">
          <cell r="A74">
            <v>38625</v>
          </cell>
        </row>
        <row r="75">
          <cell r="A75">
            <v>38656</v>
          </cell>
        </row>
        <row r="76">
          <cell r="A76">
            <v>38686</v>
          </cell>
        </row>
        <row r="77">
          <cell r="A77">
            <v>38717</v>
          </cell>
        </row>
        <row r="78">
          <cell r="A78">
            <v>38748</v>
          </cell>
        </row>
        <row r="79">
          <cell r="A79">
            <v>38776</v>
          </cell>
        </row>
        <row r="80">
          <cell r="A80">
            <v>38807</v>
          </cell>
        </row>
        <row r="81">
          <cell r="A81">
            <v>38837</v>
          </cell>
        </row>
        <row r="82">
          <cell r="A82">
            <v>38868</v>
          </cell>
        </row>
        <row r="83">
          <cell r="A83">
            <v>38898</v>
          </cell>
        </row>
        <row r="84">
          <cell r="A84">
            <v>38929</v>
          </cell>
        </row>
        <row r="85">
          <cell r="A85">
            <v>38960</v>
          </cell>
        </row>
        <row r="86">
          <cell r="A86">
            <v>38990</v>
          </cell>
        </row>
        <row r="87">
          <cell r="A87">
            <v>39021</v>
          </cell>
        </row>
        <row r="88">
          <cell r="A88">
            <v>39051</v>
          </cell>
        </row>
        <row r="89">
          <cell r="A89">
            <v>39082</v>
          </cell>
        </row>
        <row r="90">
          <cell r="A90">
            <v>39113</v>
          </cell>
        </row>
        <row r="91">
          <cell r="A91">
            <v>39141</v>
          </cell>
        </row>
        <row r="92">
          <cell r="A92">
            <v>39172</v>
          </cell>
        </row>
        <row r="93">
          <cell r="A93">
            <v>39202</v>
          </cell>
        </row>
        <row r="94">
          <cell r="A94">
            <v>39203</v>
          </cell>
        </row>
        <row r="95">
          <cell r="A95">
            <v>39263</v>
          </cell>
        </row>
        <row r="96">
          <cell r="A96">
            <v>39264</v>
          </cell>
        </row>
        <row r="97">
          <cell r="A97">
            <v>39325</v>
          </cell>
        </row>
        <row r="98">
          <cell r="A98">
            <v>39355</v>
          </cell>
        </row>
        <row r="99">
          <cell r="A99">
            <v>39386</v>
          </cell>
        </row>
        <row r="100">
          <cell r="A100">
            <v>39416</v>
          </cell>
        </row>
        <row r="101">
          <cell r="A101">
            <v>39447</v>
          </cell>
        </row>
        <row r="102">
          <cell r="A102">
            <v>39478</v>
          </cell>
        </row>
        <row r="103">
          <cell r="A103">
            <v>39507</v>
          </cell>
        </row>
        <row r="104">
          <cell r="A104">
            <v>39538</v>
          </cell>
        </row>
        <row r="105">
          <cell r="A105">
            <v>39568</v>
          </cell>
        </row>
        <row r="106">
          <cell r="A106">
            <v>39599</v>
          </cell>
        </row>
        <row r="107">
          <cell r="A107">
            <v>39629</v>
          </cell>
        </row>
        <row r="108">
          <cell r="A108">
            <v>39660</v>
          </cell>
        </row>
        <row r="109">
          <cell r="A109">
            <v>39691</v>
          </cell>
        </row>
        <row r="110">
          <cell r="A110">
            <v>39721</v>
          </cell>
        </row>
        <row r="111">
          <cell r="A111">
            <v>39752</v>
          </cell>
        </row>
        <row r="112">
          <cell r="A112">
            <v>39753</v>
          </cell>
        </row>
        <row r="113">
          <cell r="A113">
            <v>39813</v>
          </cell>
        </row>
        <row r="114">
          <cell r="A114">
            <v>39844</v>
          </cell>
        </row>
        <row r="115">
          <cell r="A115">
            <v>39845</v>
          </cell>
        </row>
        <row r="116">
          <cell r="A116">
            <v>39874</v>
          </cell>
        </row>
        <row r="117">
          <cell r="A117">
            <v>39933</v>
          </cell>
        </row>
        <row r="118">
          <cell r="A118">
            <v>39964</v>
          </cell>
        </row>
        <row r="119">
          <cell r="A119">
            <v>39994</v>
          </cell>
        </row>
        <row r="120">
          <cell r="A120">
            <v>39995</v>
          </cell>
        </row>
        <row r="121">
          <cell r="A121">
            <v>40056</v>
          </cell>
        </row>
        <row r="122">
          <cell r="A122">
            <v>40086</v>
          </cell>
        </row>
        <row r="123">
          <cell r="A123">
            <v>40117</v>
          </cell>
        </row>
        <row r="124">
          <cell r="A124">
            <v>40147</v>
          </cell>
        </row>
        <row r="125">
          <cell r="A125">
            <v>40178</v>
          </cell>
        </row>
        <row r="126">
          <cell r="A126">
            <v>40209</v>
          </cell>
        </row>
        <row r="127">
          <cell r="A127">
            <v>40237</v>
          </cell>
        </row>
        <row r="128">
          <cell r="A128">
            <v>40268</v>
          </cell>
        </row>
        <row r="129">
          <cell r="A129">
            <v>40298</v>
          </cell>
        </row>
        <row r="130">
          <cell r="A130">
            <v>40329</v>
          </cell>
        </row>
        <row r="131">
          <cell r="A131">
            <v>40359</v>
          </cell>
        </row>
        <row r="132">
          <cell r="A132">
            <v>40390</v>
          </cell>
        </row>
        <row r="133">
          <cell r="A133">
            <v>40421</v>
          </cell>
        </row>
        <row r="134">
          <cell r="A134">
            <v>40451</v>
          </cell>
        </row>
        <row r="135">
          <cell r="A135">
            <v>40482</v>
          </cell>
        </row>
        <row r="136">
          <cell r="A136">
            <v>40512</v>
          </cell>
        </row>
        <row r="137">
          <cell r="A137">
            <v>40543</v>
          </cell>
        </row>
        <row r="138">
          <cell r="A138">
            <v>40574</v>
          </cell>
        </row>
        <row r="139">
          <cell r="A139">
            <v>40602</v>
          </cell>
        </row>
        <row r="140">
          <cell r="A140">
            <v>40633</v>
          </cell>
        </row>
        <row r="141">
          <cell r="A141">
            <v>40663</v>
          </cell>
        </row>
        <row r="142">
          <cell r="A142">
            <v>40694</v>
          </cell>
        </row>
        <row r="143">
          <cell r="A143">
            <v>40724</v>
          </cell>
        </row>
        <row r="144">
          <cell r="A144">
            <v>40755</v>
          </cell>
        </row>
        <row r="145">
          <cell r="A145">
            <v>40786</v>
          </cell>
        </row>
        <row r="146">
          <cell r="A146">
            <v>40816</v>
          </cell>
        </row>
        <row r="147">
          <cell r="A147">
            <v>40847</v>
          </cell>
        </row>
        <row r="148">
          <cell r="A148">
            <v>40877</v>
          </cell>
        </row>
        <row r="149">
          <cell r="A149">
            <v>40878</v>
          </cell>
        </row>
        <row r="150">
          <cell r="A150">
            <v>40909</v>
          </cell>
        </row>
        <row r="151">
          <cell r="A151">
            <v>40940</v>
          </cell>
        </row>
        <row r="152">
          <cell r="A152">
            <v>40969</v>
          </cell>
        </row>
        <row r="153">
          <cell r="A153">
            <v>41000</v>
          </cell>
        </row>
        <row r="154">
          <cell r="A154">
            <v>41030</v>
          </cell>
        </row>
        <row r="155">
          <cell r="A155">
            <v>41061</v>
          </cell>
        </row>
        <row r="156">
          <cell r="A156">
            <v>41091</v>
          </cell>
        </row>
        <row r="157">
          <cell r="A157">
            <v>41122</v>
          </cell>
        </row>
        <row r="158">
          <cell r="A158">
            <v>41182</v>
          </cell>
        </row>
        <row r="159">
          <cell r="A159">
            <v>41213</v>
          </cell>
        </row>
        <row r="160">
          <cell r="A160">
            <v>41243</v>
          </cell>
        </row>
        <row r="161">
          <cell r="A161">
            <v>41274</v>
          </cell>
        </row>
        <row r="162">
          <cell r="A162">
            <v>41305</v>
          </cell>
        </row>
        <row r="163">
          <cell r="A163">
            <v>41333</v>
          </cell>
        </row>
        <row r="164">
          <cell r="A164">
            <v>41334</v>
          </cell>
        </row>
        <row r="165">
          <cell r="A165">
            <v>41394</v>
          </cell>
        </row>
        <row r="166">
          <cell r="A166">
            <v>41425</v>
          </cell>
        </row>
        <row r="167">
          <cell r="A167">
            <v>41455</v>
          </cell>
        </row>
        <row r="168">
          <cell r="A168">
            <v>41486</v>
          </cell>
        </row>
        <row r="169">
          <cell r="A169">
            <v>41517</v>
          </cell>
        </row>
        <row r="170">
          <cell r="A170">
            <v>41547</v>
          </cell>
        </row>
        <row r="171">
          <cell r="A171">
            <v>41578</v>
          </cell>
        </row>
        <row r="172">
          <cell r="A172">
            <v>41608</v>
          </cell>
        </row>
        <row r="173">
          <cell r="A173">
            <v>41639</v>
          </cell>
        </row>
        <row r="174">
          <cell r="A174">
            <v>41670</v>
          </cell>
        </row>
        <row r="175">
          <cell r="A175">
            <v>41698</v>
          </cell>
        </row>
        <row r="176">
          <cell r="A176">
            <v>41729</v>
          </cell>
        </row>
        <row r="177">
          <cell r="A177">
            <v>41759</v>
          </cell>
        </row>
        <row r="178">
          <cell r="A178">
            <v>41790</v>
          </cell>
        </row>
        <row r="179">
          <cell r="A179">
            <v>41820</v>
          </cell>
        </row>
        <row r="180">
          <cell r="A180">
            <v>41851</v>
          </cell>
        </row>
        <row r="181">
          <cell r="A181">
            <v>41882</v>
          </cell>
        </row>
        <row r="182">
          <cell r="A182">
            <v>41912</v>
          </cell>
        </row>
        <row r="183">
          <cell r="A183">
            <v>41943</v>
          </cell>
        </row>
        <row r="184">
          <cell r="A184">
            <v>41973</v>
          </cell>
        </row>
        <row r="185">
          <cell r="A185">
            <v>42004</v>
          </cell>
        </row>
        <row r="186">
          <cell r="A186">
            <v>42035</v>
          </cell>
        </row>
        <row r="187">
          <cell r="A187">
            <v>42063</v>
          </cell>
        </row>
        <row r="188">
          <cell r="A188">
            <v>42094</v>
          </cell>
        </row>
        <row r="189">
          <cell r="A189">
            <v>42124</v>
          </cell>
        </row>
        <row r="190">
          <cell r="A190">
            <v>42155</v>
          </cell>
        </row>
        <row r="191">
          <cell r="A191">
            <v>42185</v>
          </cell>
        </row>
        <row r="192">
          <cell r="A192">
            <v>42216</v>
          </cell>
        </row>
        <row r="193">
          <cell r="A193">
            <v>42247</v>
          </cell>
        </row>
        <row r="194">
          <cell r="A194">
            <v>42277</v>
          </cell>
        </row>
        <row r="195">
          <cell r="A195">
            <v>42308</v>
          </cell>
        </row>
        <row r="196">
          <cell r="A196">
            <v>42338</v>
          </cell>
        </row>
        <row r="197">
          <cell r="A197">
            <v>42369</v>
          </cell>
        </row>
        <row r="198">
          <cell r="A198">
            <v>42400</v>
          </cell>
        </row>
        <row r="199">
          <cell r="A199">
            <v>42429</v>
          </cell>
        </row>
        <row r="200">
          <cell r="A200">
            <v>42460</v>
          </cell>
        </row>
        <row r="201">
          <cell r="A201">
            <v>42490</v>
          </cell>
        </row>
        <row r="202">
          <cell r="A202">
            <v>42521</v>
          </cell>
        </row>
        <row r="203">
          <cell r="A203">
            <v>42551</v>
          </cell>
        </row>
        <row r="204">
          <cell r="A204">
            <v>42582</v>
          </cell>
        </row>
        <row r="205">
          <cell r="A205">
            <v>42613</v>
          </cell>
        </row>
        <row r="206">
          <cell r="A206">
            <v>42643</v>
          </cell>
        </row>
        <row r="207">
          <cell r="A207">
            <v>42674</v>
          </cell>
        </row>
        <row r="208">
          <cell r="A208">
            <v>42704</v>
          </cell>
        </row>
        <row r="209">
          <cell r="A209">
            <v>42735</v>
          </cell>
        </row>
        <row r="210">
          <cell r="A210">
            <v>42766</v>
          </cell>
        </row>
        <row r="211">
          <cell r="A211">
            <v>42794</v>
          </cell>
        </row>
        <row r="212">
          <cell r="A212">
            <v>42825</v>
          </cell>
        </row>
        <row r="213">
          <cell r="A213">
            <v>42855</v>
          </cell>
        </row>
        <row r="214">
          <cell r="A214">
            <v>42886</v>
          </cell>
        </row>
        <row r="215">
          <cell r="A215">
            <v>42916</v>
          </cell>
        </row>
        <row r="216">
          <cell r="A216">
            <v>42947</v>
          </cell>
        </row>
        <row r="217">
          <cell r="A217">
            <v>42978</v>
          </cell>
        </row>
        <row r="218">
          <cell r="A218">
            <v>43008</v>
          </cell>
        </row>
        <row r="219">
          <cell r="A219">
            <v>43039</v>
          </cell>
        </row>
        <row r="220">
          <cell r="A220">
            <v>43069</v>
          </cell>
        </row>
        <row r="221">
          <cell r="A221">
            <v>43100</v>
          </cell>
        </row>
        <row r="222">
          <cell r="A222">
            <v>43131</v>
          </cell>
        </row>
        <row r="223">
          <cell r="A223">
            <v>43159</v>
          </cell>
        </row>
        <row r="224">
          <cell r="A224">
            <v>43190</v>
          </cell>
        </row>
        <row r="225">
          <cell r="A225">
            <v>43220</v>
          </cell>
        </row>
        <row r="226">
          <cell r="A226">
            <v>43251</v>
          </cell>
        </row>
        <row r="227">
          <cell r="A227">
            <v>43281</v>
          </cell>
        </row>
        <row r="228">
          <cell r="A228">
            <v>43312</v>
          </cell>
        </row>
        <row r="229">
          <cell r="A229">
            <v>43343</v>
          </cell>
        </row>
        <row r="230">
          <cell r="A230">
            <v>43373</v>
          </cell>
        </row>
        <row r="231">
          <cell r="A231">
            <v>43404</v>
          </cell>
        </row>
        <row r="232">
          <cell r="A232">
            <v>43434</v>
          </cell>
        </row>
        <row r="233">
          <cell r="A233">
            <v>43465</v>
          </cell>
        </row>
        <row r="234">
          <cell r="A234">
            <v>43496</v>
          </cell>
        </row>
        <row r="235">
          <cell r="A235">
            <v>43524</v>
          </cell>
        </row>
        <row r="236">
          <cell r="A236">
            <v>43555</v>
          </cell>
        </row>
        <row r="237">
          <cell r="A237">
            <v>43585</v>
          </cell>
        </row>
        <row r="238">
          <cell r="A238">
            <v>43616</v>
          </cell>
        </row>
        <row r="239">
          <cell r="A239">
            <v>43646</v>
          </cell>
        </row>
        <row r="240">
          <cell r="A240">
            <v>43677</v>
          </cell>
        </row>
        <row r="241">
          <cell r="A241">
            <v>43708</v>
          </cell>
        </row>
        <row r="242">
          <cell r="A242">
            <v>43738</v>
          </cell>
        </row>
        <row r="243">
          <cell r="A243">
            <v>43769</v>
          </cell>
        </row>
        <row r="244">
          <cell r="A244">
            <v>43799</v>
          </cell>
        </row>
        <row r="245">
          <cell r="A245">
            <v>43830</v>
          </cell>
        </row>
        <row r="246">
          <cell r="A246">
            <v>43861</v>
          </cell>
        </row>
        <row r="247">
          <cell r="A247">
            <v>43890</v>
          </cell>
        </row>
        <row r="248">
          <cell r="A248">
            <v>43921</v>
          </cell>
        </row>
        <row r="249">
          <cell r="A249">
            <v>43951</v>
          </cell>
        </row>
        <row r="250">
          <cell r="A250">
            <v>43982</v>
          </cell>
        </row>
        <row r="251">
          <cell r="A251">
            <v>44012</v>
          </cell>
        </row>
        <row r="252">
          <cell r="A252">
            <v>44043</v>
          </cell>
        </row>
        <row r="253">
          <cell r="A253">
            <v>44074</v>
          </cell>
        </row>
        <row r="254">
          <cell r="A254">
            <v>44104</v>
          </cell>
        </row>
        <row r="255">
          <cell r="A255">
            <v>44135</v>
          </cell>
        </row>
        <row r="256">
          <cell r="A256">
            <v>44165</v>
          </cell>
        </row>
        <row r="257">
          <cell r="A257">
            <v>44196</v>
          </cell>
        </row>
        <row r="258">
          <cell r="A258">
            <v>44227</v>
          </cell>
        </row>
        <row r="259">
          <cell r="A259">
            <v>44255</v>
          </cell>
        </row>
        <row r="260">
          <cell r="A260">
            <v>44286</v>
          </cell>
        </row>
        <row r="261">
          <cell r="A261">
            <v>44316</v>
          </cell>
        </row>
        <row r="262">
          <cell r="A262">
            <v>44347</v>
          </cell>
        </row>
        <row r="263">
          <cell r="A263">
            <v>44377</v>
          </cell>
        </row>
        <row r="264">
          <cell r="A264">
            <v>44408</v>
          </cell>
        </row>
        <row r="265">
          <cell r="A265">
            <v>44439</v>
          </cell>
        </row>
        <row r="266">
          <cell r="A266">
            <v>44469</v>
          </cell>
        </row>
        <row r="267">
          <cell r="A267">
            <v>44500</v>
          </cell>
        </row>
        <row r="268">
          <cell r="A268">
            <v>44530</v>
          </cell>
        </row>
        <row r="269">
          <cell r="A269">
            <v>44561</v>
          </cell>
        </row>
        <row r="270">
          <cell r="A270">
            <v>44592</v>
          </cell>
        </row>
        <row r="271">
          <cell r="A271">
            <v>44620</v>
          </cell>
        </row>
        <row r="272">
          <cell r="A272">
            <v>44651</v>
          </cell>
        </row>
        <row r="273">
          <cell r="A273">
            <v>44681</v>
          </cell>
        </row>
        <row r="274">
          <cell r="A274">
            <v>44712</v>
          </cell>
        </row>
        <row r="275">
          <cell r="A275">
            <v>44742</v>
          </cell>
        </row>
        <row r="276">
          <cell r="A276">
            <v>44773</v>
          </cell>
        </row>
        <row r="277">
          <cell r="A277">
            <v>44804</v>
          </cell>
        </row>
        <row r="278">
          <cell r="A278">
            <v>44834</v>
          </cell>
        </row>
        <row r="279">
          <cell r="A279">
            <v>44865</v>
          </cell>
        </row>
        <row r="280">
          <cell r="A280">
            <v>44895</v>
          </cell>
        </row>
        <row r="281">
          <cell r="A281">
            <v>44926</v>
          </cell>
        </row>
        <row r="282">
          <cell r="A282">
            <v>44957</v>
          </cell>
        </row>
        <row r="283">
          <cell r="A283">
            <v>44985</v>
          </cell>
        </row>
        <row r="284">
          <cell r="A284">
            <v>45016</v>
          </cell>
        </row>
        <row r="285">
          <cell r="A285">
            <v>45046</v>
          </cell>
        </row>
        <row r="286">
          <cell r="A286">
            <v>45077</v>
          </cell>
        </row>
        <row r="287">
          <cell r="A287">
            <v>45107</v>
          </cell>
        </row>
        <row r="288">
          <cell r="A288">
            <v>45138</v>
          </cell>
        </row>
        <row r="289">
          <cell r="A289">
            <v>45169</v>
          </cell>
        </row>
        <row r="290">
          <cell r="A290">
            <v>45199</v>
          </cell>
        </row>
        <row r="291">
          <cell r="A291">
            <v>45230</v>
          </cell>
        </row>
        <row r="292">
          <cell r="A292">
            <v>45260</v>
          </cell>
        </row>
        <row r="293">
          <cell r="A293">
            <v>45291</v>
          </cell>
        </row>
        <row r="294">
          <cell r="A294">
            <v>45322</v>
          </cell>
        </row>
        <row r="295">
          <cell r="A295">
            <v>45350</v>
          </cell>
        </row>
        <row r="296">
          <cell r="A296">
            <v>45382</v>
          </cell>
        </row>
        <row r="297">
          <cell r="A297">
            <v>45412</v>
          </cell>
        </row>
        <row r="298">
          <cell r="A298">
            <v>45443</v>
          </cell>
        </row>
        <row r="299">
          <cell r="A299">
            <v>45473</v>
          </cell>
        </row>
      </sheetData>
      <sheetData sheetId="6">
        <row r="22">
          <cell r="A22" t="str">
            <v>Fecha corte</v>
          </cell>
        </row>
        <row r="23">
          <cell r="A23">
            <v>37072</v>
          </cell>
        </row>
        <row r="24">
          <cell r="A24">
            <v>37103</v>
          </cell>
        </row>
        <row r="25">
          <cell r="A25">
            <v>37134</v>
          </cell>
        </row>
        <row r="26">
          <cell r="A26">
            <v>37164</v>
          </cell>
        </row>
        <row r="27">
          <cell r="A27">
            <v>37195</v>
          </cell>
        </row>
        <row r="28">
          <cell r="A28">
            <v>37225</v>
          </cell>
        </row>
        <row r="29">
          <cell r="A29">
            <v>37256</v>
          </cell>
        </row>
        <row r="30">
          <cell r="A30">
            <v>37287</v>
          </cell>
        </row>
        <row r="31">
          <cell r="A31">
            <v>37315</v>
          </cell>
        </row>
        <row r="32">
          <cell r="A32">
            <v>37346</v>
          </cell>
        </row>
        <row r="33">
          <cell r="A33">
            <v>37376</v>
          </cell>
        </row>
        <row r="34">
          <cell r="A34">
            <v>37407</v>
          </cell>
        </row>
        <row r="35">
          <cell r="A35">
            <v>37437</v>
          </cell>
        </row>
        <row r="36">
          <cell r="A36">
            <v>37468</v>
          </cell>
        </row>
        <row r="37">
          <cell r="A37">
            <v>37499</v>
          </cell>
        </row>
        <row r="38">
          <cell r="A38">
            <v>37529</v>
          </cell>
        </row>
        <row r="39">
          <cell r="A39">
            <v>37560</v>
          </cell>
        </row>
        <row r="40">
          <cell r="A40">
            <v>37590</v>
          </cell>
        </row>
        <row r="41">
          <cell r="A41">
            <v>37621</v>
          </cell>
        </row>
        <row r="42">
          <cell r="A42">
            <v>37652</v>
          </cell>
        </row>
        <row r="43">
          <cell r="A43">
            <v>37680</v>
          </cell>
        </row>
        <row r="44">
          <cell r="A44">
            <v>37711</v>
          </cell>
        </row>
        <row r="45">
          <cell r="A45">
            <v>37741</v>
          </cell>
        </row>
        <row r="46">
          <cell r="A46">
            <v>37772</v>
          </cell>
        </row>
        <row r="47">
          <cell r="A47">
            <v>37802</v>
          </cell>
        </row>
        <row r="48">
          <cell r="A48">
            <v>37833</v>
          </cell>
        </row>
        <row r="49">
          <cell r="A49">
            <v>37864</v>
          </cell>
        </row>
        <row r="50">
          <cell r="A50">
            <v>37894</v>
          </cell>
        </row>
        <row r="51">
          <cell r="A51">
            <v>37925</v>
          </cell>
        </row>
        <row r="52">
          <cell r="A52">
            <v>37955</v>
          </cell>
        </row>
        <row r="53">
          <cell r="A53">
            <v>37986</v>
          </cell>
          <cell r="B53">
            <v>0.44621487071153421</v>
          </cell>
          <cell r="C53">
            <v>0.282729935444402</v>
          </cell>
          <cell r="D53">
            <v>0.15029629996615282</v>
          </cell>
          <cell r="E53">
            <v>3.1860146879362505E-2</v>
          </cell>
          <cell r="F53">
            <v>8.1408334619466172E-2</v>
          </cell>
          <cell r="G53">
            <v>7.4904123790822223E-3</v>
          </cell>
          <cell r="H53">
            <v>0.76080495303529871</v>
          </cell>
        </row>
        <row r="54">
          <cell r="A54">
            <v>38017</v>
          </cell>
        </row>
        <row r="55">
          <cell r="A55">
            <v>38046</v>
          </cell>
        </row>
        <row r="56">
          <cell r="A56">
            <v>38077</v>
          </cell>
        </row>
        <row r="57">
          <cell r="A57">
            <v>38107</v>
          </cell>
        </row>
        <row r="58">
          <cell r="A58">
            <v>38138</v>
          </cell>
        </row>
        <row r="59">
          <cell r="A59">
            <v>38168</v>
          </cell>
        </row>
        <row r="60">
          <cell r="A60">
            <v>38199</v>
          </cell>
        </row>
        <row r="61">
          <cell r="A61">
            <v>38230</v>
          </cell>
        </row>
        <row r="62">
          <cell r="A62">
            <v>38260</v>
          </cell>
        </row>
        <row r="63">
          <cell r="A63">
            <v>38291</v>
          </cell>
        </row>
        <row r="64">
          <cell r="A64">
            <v>38321</v>
          </cell>
        </row>
        <row r="65">
          <cell r="A65">
            <v>38352</v>
          </cell>
        </row>
        <row r="66">
          <cell r="A66">
            <v>38383</v>
          </cell>
        </row>
        <row r="67">
          <cell r="A67">
            <v>38411</v>
          </cell>
        </row>
        <row r="68">
          <cell r="A68">
            <v>38442</v>
          </cell>
        </row>
        <row r="69">
          <cell r="A69">
            <v>38472</v>
          </cell>
        </row>
        <row r="70">
          <cell r="A70">
            <v>38503</v>
          </cell>
        </row>
        <row r="71">
          <cell r="A71">
            <v>38533</v>
          </cell>
        </row>
        <row r="72">
          <cell r="A72">
            <v>38564</v>
          </cell>
        </row>
        <row r="73">
          <cell r="A73">
            <v>38595</v>
          </cell>
        </row>
        <row r="74">
          <cell r="A74">
            <v>38625</v>
          </cell>
        </row>
        <row r="75">
          <cell r="A75">
            <v>38656</v>
          </cell>
        </row>
        <row r="76">
          <cell r="A76">
            <v>38686</v>
          </cell>
        </row>
        <row r="77">
          <cell r="A77">
            <v>38717</v>
          </cell>
        </row>
        <row r="78">
          <cell r="A78">
            <v>38748</v>
          </cell>
        </row>
        <row r="79">
          <cell r="A79">
            <v>38776</v>
          </cell>
        </row>
        <row r="80">
          <cell r="A80">
            <v>38807</v>
          </cell>
        </row>
        <row r="81">
          <cell r="A81">
            <v>38837</v>
          </cell>
        </row>
        <row r="82">
          <cell r="A82">
            <v>38868</v>
          </cell>
        </row>
        <row r="83">
          <cell r="A83">
            <v>38898</v>
          </cell>
        </row>
        <row r="84">
          <cell r="A84">
            <v>38929</v>
          </cell>
        </row>
        <row r="85">
          <cell r="A85">
            <v>38960</v>
          </cell>
        </row>
        <row r="86">
          <cell r="A86">
            <v>38990</v>
          </cell>
        </row>
        <row r="87">
          <cell r="A87">
            <v>39021</v>
          </cell>
        </row>
        <row r="88">
          <cell r="A88">
            <v>39051</v>
          </cell>
        </row>
        <row r="89">
          <cell r="A89">
            <v>39082</v>
          </cell>
        </row>
        <row r="90">
          <cell r="A90">
            <v>39113</v>
          </cell>
        </row>
        <row r="91">
          <cell r="A91">
            <v>39141</v>
          </cell>
        </row>
        <row r="92">
          <cell r="A92">
            <v>39172</v>
          </cell>
        </row>
        <row r="93">
          <cell r="A93">
            <v>39202</v>
          </cell>
        </row>
        <row r="94">
          <cell r="A94">
            <v>39203</v>
          </cell>
        </row>
        <row r="95">
          <cell r="A95">
            <v>39263</v>
          </cell>
        </row>
        <row r="96">
          <cell r="A96">
            <v>39294</v>
          </cell>
        </row>
        <row r="97">
          <cell r="A97">
            <v>39325</v>
          </cell>
        </row>
        <row r="98">
          <cell r="A98">
            <v>39355</v>
          </cell>
        </row>
        <row r="99">
          <cell r="A99">
            <v>39386</v>
          </cell>
        </row>
        <row r="100">
          <cell r="A100">
            <v>39416</v>
          </cell>
        </row>
        <row r="101">
          <cell r="A101">
            <v>39447</v>
          </cell>
        </row>
        <row r="102">
          <cell r="A102">
            <v>39478</v>
          </cell>
        </row>
        <row r="103">
          <cell r="A103">
            <v>39507</v>
          </cell>
        </row>
        <row r="104">
          <cell r="A104">
            <v>39538</v>
          </cell>
        </row>
        <row r="105">
          <cell r="A105">
            <v>39568</v>
          </cell>
        </row>
        <row r="106">
          <cell r="A106">
            <v>39599</v>
          </cell>
        </row>
        <row r="107">
          <cell r="A107">
            <v>39629</v>
          </cell>
        </row>
        <row r="108">
          <cell r="A108">
            <v>39660</v>
          </cell>
        </row>
        <row r="109">
          <cell r="A109">
            <v>39691</v>
          </cell>
        </row>
        <row r="110">
          <cell r="A110">
            <v>39721</v>
          </cell>
        </row>
        <row r="111">
          <cell r="A111">
            <v>39752</v>
          </cell>
        </row>
        <row r="112">
          <cell r="A112">
            <v>39782</v>
          </cell>
        </row>
        <row r="113">
          <cell r="A113">
            <v>39813</v>
          </cell>
        </row>
        <row r="114">
          <cell r="A114">
            <v>39814</v>
          </cell>
        </row>
        <row r="115">
          <cell r="A115">
            <v>39846</v>
          </cell>
        </row>
        <row r="116">
          <cell r="A116">
            <v>39875</v>
          </cell>
        </row>
        <row r="117">
          <cell r="A117">
            <v>39909</v>
          </cell>
        </row>
        <row r="118">
          <cell r="A118">
            <v>39939</v>
          </cell>
        </row>
        <row r="119">
          <cell r="A119">
            <v>39970</v>
          </cell>
        </row>
        <row r="120">
          <cell r="A120">
            <v>40025</v>
          </cell>
        </row>
        <row r="121">
          <cell r="A121">
            <v>40056</v>
          </cell>
        </row>
        <row r="122">
          <cell r="A122">
            <v>40086</v>
          </cell>
        </row>
        <row r="123">
          <cell r="A123">
            <v>40117</v>
          </cell>
        </row>
        <row r="124">
          <cell r="A124">
            <v>40147</v>
          </cell>
        </row>
        <row r="125">
          <cell r="A125">
            <v>40178</v>
          </cell>
        </row>
        <row r="126">
          <cell r="A126">
            <v>40209</v>
          </cell>
        </row>
        <row r="127">
          <cell r="A127">
            <v>40237</v>
          </cell>
        </row>
        <row r="128">
          <cell r="A128">
            <v>40268</v>
          </cell>
        </row>
        <row r="129">
          <cell r="A129">
            <v>40298</v>
          </cell>
        </row>
        <row r="130">
          <cell r="A130">
            <v>40329</v>
          </cell>
        </row>
        <row r="131">
          <cell r="A131">
            <v>40359</v>
          </cell>
        </row>
        <row r="132">
          <cell r="A132">
            <v>40390</v>
          </cell>
        </row>
        <row r="133">
          <cell r="A133">
            <v>40421</v>
          </cell>
        </row>
        <row r="134">
          <cell r="A134">
            <v>40451</v>
          </cell>
        </row>
        <row r="135">
          <cell r="A135">
            <v>40482</v>
          </cell>
        </row>
        <row r="136">
          <cell r="A136">
            <v>40512</v>
          </cell>
        </row>
        <row r="137">
          <cell r="A137">
            <v>40543</v>
          </cell>
        </row>
        <row r="138">
          <cell r="A138">
            <v>40574</v>
          </cell>
        </row>
        <row r="139">
          <cell r="A139">
            <v>40602</v>
          </cell>
        </row>
        <row r="140">
          <cell r="A140">
            <v>40633</v>
          </cell>
        </row>
        <row r="141">
          <cell r="A141">
            <v>40663</v>
          </cell>
        </row>
        <row r="142">
          <cell r="A142">
            <v>40694</v>
          </cell>
        </row>
        <row r="143">
          <cell r="A143">
            <v>40724</v>
          </cell>
        </row>
        <row r="144">
          <cell r="A144">
            <v>40755</v>
          </cell>
        </row>
        <row r="145">
          <cell r="A145">
            <v>40786</v>
          </cell>
        </row>
        <row r="146">
          <cell r="A146">
            <v>40816</v>
          </cell>
        </row>
        <row r="147">
          <cell r="A147">
            <v>40847</v>
          </cell>
        </row>
        <row r="148">
          <cell r="A148">
            <v>40877</v>
          </cell>
        </row>
        <row r="149">
          <cell r="A149">
            <v>40878</v>
          </cell>
        </row>
        <row r="150">
          <cell r="A150">
            <v>40909</v>
          </cell>
        </row>
        <row r="151">
          <cell r="A151">
            <v>40940</v>
          </cell>
        </row>
        <row r="152">
          <cell r="A152">
            <v>40969</v>
          </cell>
        </row>
        <row r="153">
          <cell r="A153">
            <v>41000</v>
          </cell>
        </row>
        <row r="154">
          <cell r="A154">
            <v>41030</v>
          </cell>
        </row>
        <row r="155">
          <cell r="A155">
            <v>41061</v>
          </cell>
        </row>
        <row r="156">
          <cell r="A156">
            <v>41091</v>
          </cell>
        </row>
        <row r="157">
          <cell r="A157">
            <v>41122</v>
          </cell>
        </row>
        <row r="158">
          <cell r="A158">
            <v>41182</v>
          </cell>
        </row>
        <row r="159">
          <cell r="A159">
            <v>41213</v>
          </cell>
        </row>
        <row r="160">
          <cell r="A160">
            <v>41243</v>
          </cell>
        </row>
        <row r="161">
          <cell r="A161">
            <v>41274</v>
          </cell>
        </row>
        <row r="162">
          <cell r="A162">
            <v>41305</v>
          </cell>
        </row>
        <row r="163">
          <cell r="A163">
            <v>41333</v>
          </cell>
        </row>
        <row r="164">
          <cell r="A164">
            <v>41334</v>
          </cell>
        </row>
        <row r="165">
          <cell r="A165">
            <v>41394</v>
          </cell>
        </row>
        <row r="166">
          <cell r="A166">
            <v>41425</v>
          </cell>
        </row>
        <row r="167">
          <cell r="A167">
            <v>41455</v>
          </cell>
        </row>
        <row r="168">
          <cell r="A168">
            <v>41486</v>
          </cell>
        </row>
        <row r="169">
          <cell r="A169">
            <v>41517</v>
          </cell>
        </row>
        <row r="170">
          <cell r="A170">
            <v>41547</v>
          </cell>
        </row>
        <row r="171">
          <cell r="A171">
            <v>41578</v>
          </cell>
        </row>
        <row r="172">
          <cell r="A172">
            <v>41608</v>
          </cell>
        </row>
        <row r="173">
          <cell r="A173">
            <v>41639</v>
          </cell>
        </row>
        <row r="174">
          <cell r="A174">
            <v>41670</v>
          </cell>
        </row>
        <row r="175">
          <cell r="A175">
            <v>41698</v>
          </cell>
        </row>
        <row r="176">
          <cell r="A176">
            <v>41729</v>
          </cell>
        </row>
        <row r="177">
          <cell r="A177">
            <v>41759</v>
          </cell>
        </row>
        <row r="178">
          <cell r="A178">
            <v>41790</v>
          </cell>
        </row>
        <row r="179">
          <cell r="A179">
            <v>41820</v>
          </cell>
        </row>
        <row r="180">
          <cell r="A180">
            <v>41851</v>
          </cell>
        </row>
        <row r="181">
          <cell r="A181">
            <v>41882</v>
          </cell>
        </row>
        <row r="182">
          <cell r="A182">
            <v>41912</v>
          </cell>
        </row>
        <row r="183">
          <cell r="A183">
            <v>41943</v>
          </cell>
        </row>
        <row r="184">
          <cell r="A184">
            <v>41973</v>
          </cell>
        </row>
        <row r="185">
          <cell r="A185">
            <v>42004</v>
          </cell>
        </row>
        <row r="186">
          <cell r="A186">
            <v>42035</v>
          </cell>
        </row>
        <row r="187">
          <cell r="A187">
            <v>42063</v>
          </cell>
        </row>
        <row r="188">
          <cell r="A188">
            <v>42094</v>
          </cell>
        </row>
        <row r="189">
          <cell r="A189">
            <v>42124</v>
          </cell>
        </row>
        <row r="190">
          <cell r="A190">
            <v>42155</v>
          </cell>
        </row>
        <row r="191">
          <cell r="A191">
            <v>42185</v>
          </cell>
        </row>
        <row r="192">
          <cell r="A192">
            <v>42216</v>
          </cell>
        </row>
        <row r="193">
          <cell r="A193">
            <v>42247</v>
          </cell>
        </row>
        <row r="194">
          <cell r="A194">
            <v>42277</v>
          </cell>
        </row>
        <row r="195">
          <cell r="A195">
            <v>42308</v>
          </cell>
        </row>
        <row r="196">
          <cell r="A196">
            <v>42338</v>
          </cell>
        </row>
        <row r="197">
          <cell r="A197">
            <v>42369</v>
          </cell>
        </row>
        <row r="198">
          <cell r="A198">
            <v>42400</v>
          </cell>
        </row>
        <row r="199">
          <cell r="A199">
            <v>42429</v>
          </cell>
        </row>
        <row r="200">
          <cell r="A200">
            <v>42460</v>
          </cell>
        </row>
        <row r="201">
          <cell r="A201">
            <v>42490</v>
          </cell>
        </row>
        <row r="202">
          <cell r="A202">
            <v>42521</v>
          </cell>
        </row>
        <row r="203">
          <cell r="A203">
            <v>42551</v>
          </cell>
        </row>
        <row r="204">
          <cell r="A204">
            <v>42582</v>
          </cell>
        </row>
        <row r="205">
          <cell r="A205">
            <v>42613</v>
          </cell>
        </row>
        <row r="206">
          <cell r="A206">
            <v>42643</v>
          </cell>
        </row>
        <row r="207">
          <cell r="A207">
            <v>42674</v>
          </cell>
        </row>
        <row r="208">
          <cell r="A208">
            <v>42704</v>
          </cell>
        </row>
        <row r="209">
          <cell r="A209">
            <v>42735</v>
          </cell>
        </row>
        <row r="210">
          <cell r="A210">
            <v>42766</v>
          </cell>
        </row>
        <row r="211">
          <cell r="A211">
            <v>42794</v>
          </cell>
        </row>
        <row r="212">
          <cell r="A212">
            <v>42825</v>
          </cell>
        </row>
        <row r="213">
          <cell r="A213">
            <v>42855</v>
          </cell>
        </row>
        <row r="214">
          <cell r="A214">
            <v>42886</v>
          </cell>
        </row>
        <row r="215">
          <cell r="A215">
            <v>42916</v>
          </cell>
        </row>
        <row r="216">
          <cell r="A216">
            <v>42947</v>
          </cell>
        </row>
        <row r="217">
          <cell r="A217">
            <v>42978</v>
          </cell>
        </row>
        <row r="218">
          <cell r="A218">
            <v>43008</v>
          </cell>
        </row>
        <row r="219">
          <cell r="A219">
            <v>43039</v>
          </cell>
        </row>
        <row r="220">
          <cell r="A220">
            <v>43069</v>
          </cell>
        </row>
        <row r="221">
          <cell r="A221">
            <v>43100</v>
          </cell>
        </row>
        <row r="222">
          <cell r="A222">
            <v>43131</v>
          </cell>
        </row>
        <row r="223">
          <cell r="A223">
            <v>43159</v>
          </cell>
        </row>
        <row r="224">
          <cell r="A224">
            <v>43190</v>
          </cell>
        </row>
        <row r="225">
          <cell r="A225">
            <v>43220</v>
          </cell>
        </row>
        <row r="226">
          <cell r="A226">
            <v>43251</v>
          </cell>
        </row>
        <row r="227">
          <cell r="A227">
            <v>43281</v>
          </cell>
        </row>
        <row r="228">
          <cell r="A228">
            <v>43312</v>
          </cell>
        </row>
        <row r="229">
          <cell r="A229">
            <v>43343</v>
          </cell>
        </row>
        <row r="230">
          <cell r="A230">
            <v>43373</v>
          </cell>
        </row>
        <row r="231">
          <cell r="A231">
            <v>43404</v>
          </cell>
        </row>
        <row r="232">
          <cell r="A232">
            <v>43434</v>
          </cell>
        </row>
        <row r="233">
          <cell r="A233">
            <v>43465</v>
          </cell>
        </row>
        <row r="234">
          <cell r="A234">
            <v>43496</v>
          </cell>
        </row>
        <row r="235">
          <cell r="A235">
            <v>43524</v>
          </cell>
        </row>
        <row r="236">
          <cell r="A236">
            <v>43555</v>
          </cell>
        </row>
        <row r="237">
          <cell r="A237">
            <v>43585</v>
          </cell>
        </row>
        <row r="238">
          <cell r="A238">
            <v>43616</v>
          </cell>
        </row>
        <row r="239">
          <cell r="A239">
            <v>43646</v>
          </cell>
        </row>
        <row r="240">
          <cell r="A240">
            <v>43677</v>
          </cell>
        </row>
        <row r="241">
          <cell r="A241">
            <v>43708</v>
          </cell>
        </row>
        <row r="242">
          <cell r="A242">
            <v>43738</v>
          </cell>
        </row>
        <row r="243">
          <cell r="A243">
            <v>43769</v>
          </cell>
        </row>
        <row r="244">
          <cell r="A244">
            <v>43799</v>
          </cell>
        </row>
        <row r="245">
          <cell r="A245">
            <v>43830</v>
          </cell>
        </row>
        <row r="246">
          <cell r="A246">
            <v>43861</v>
          </cell>
        </row>
        <row r="247">
          <cell r="A247">
            <v>43890</v>
          </cell>
        </row>
        <row r="248">
          <cell r="A248">
            <v>43921</v>
          </cell>
        </row>
        <row r="249">
          <cell r="A249">
            <v>43951</v>
          </cell>
        </row>
        <row r="250">
          <cell r="A250">
            <v>43982</v>
          </cell>
        </row>
        <row r="251">
          <cell r="A251">
            <v>44012</v>
          </cell>
        </row>
        <row r="252">
          <cell r="A252">
            <v>44043</v>
          </cell>
        </row>
        <row r="253">
          <cell r="A253">
            <v>44074</v>
          </cell>
        </row>
        <row r="254">
          <cell r="A254">
            <v>44104</v>
          </cell>
        </row>
        <row r="255">
          <cell r="A255">
            <v>44135</v>
          </cell>
        </row>
        <row r="256">
          <cell r="A256">
            <v>44165</v>
          </cell>
        </row>
        <row r="257">
          <cell r="A257">
            <v>44196</v>
          </cell>
        </row>
        <row r="258">
          <cell r="A258">
            <v>44227</v>
          </cell>
        </row>
        <row r="259">
          <cell r="A259">
            <v>44255</v>
          </cell>
        </row>
        <row r="260">
          <cell r="A260">
            <v>44286</v>
          </cell>
        </row>
        <row r="261">
          <cell r="A261">
            <v>44316</v>
          </cell>
        </row>
        <row r="262">
          <cell r="A262">
            <v>44347</v>
          </cell>
        </row>
        <row r="263">
          <cell r="A263">
            <v>44377</v>
          </cell>
        </row>
        <row r="264">
          <cell r="A264">
            <v>44408</v>
          </cell>
        </row>
        <row r="265">
          <cell r="A265">
            <v>44439</v>
          </cell>
        </row>
        <row r="266">
          <cell r="A266">
            <v>44469</v>
          </cell>
        </row>
        <row r="267">
          <cell r="A267">
            <v>44500</v>
          </cell>
        </row>
        <row r="268">
          <cell r="A268">
            <v>44530</v>
          </cell>
        </row>
        <row r="269">
          <cell r="A269">
            <v>44561</v>
          </cell>
        </row>
        <row r="270">
          <cell r="A270">
            <v>44592</v>
          </cell>
        </row>
        <row r="271">
          <cell r="A271">
            <v>44620</v>
          </cell>
        </row>
        <row r="272">
          <cell r="A272">
            <v>44651</v>
          </cell>
        </row>
        <row r="273">
          <cell r="A273">
            <v>44681</v>
          </cell>
        </row>
        <row r="274">
          <cell r="A274">
            <v>44712</v>
          </cell>
        </row>
        <row r="275">
          <cell r="A275">
            <v>44742</v>
          </cell>
        </row>
        <row r="276">
          <cell r="A276">
            <v>44773</v>
          </cell>
        </row>
        <row r="277">
          <cell r="A277">
            <v>44804</v>
          </cell>
        </row>
        <row r="278">
          <cell r="A278">
            <v>44834</v>
          </cell>
        </row>
        <row r="279">
          <cell r="A279">
            <v>44865</v>
          </cell>
        </row>
        <row r="280">
          <cell r="A280">
            <v>44895</v>
          </cell>
        </row>
        <row r="281">
          <cell r="A281">
            <v>44926</v>
          </cell>
        </row>
        <row r="282">
          <cell r="A282">
            <v>44957</v>
          </cell>
        </row>
        <row r="283">
          <cell r="A283">
            <v>44985</v>
          </cell>
        </row>
        <row r="284">
          <cell r="A284">
            <v>45016</v>
          </cell>
        </row>
        <row r="285">
          <cell r="A285">
            <v>45046</v>
          </cell>
        </row>
        <row r="286">
          <cell r="A286">
            <v>45077</v>
          </cell>
        </row>
        <row r="287">
          <cell r="A287">
            <v>45107</v>
          </cell>
        </row>
        <row r="288">
          <cell r="A288">
            <v>45138</v>
          </cell>
        </row>
        <row r="289">
          <cell r="A289">
            <v>45169</v>
          </cell>
        </row>
        <row r="290">
          <cell r="A290">
            <v>45199</v>
          </cell>
        </row>
        <row r="291">
          <cell r="A291">
            <v>45230</v>
          </cell>
        </row>
        <row r="292">
          <cell r="A292">
            <v>45260</v>
          </cell>
        </row>
        <row r="293">
          <cell r="A293">
            <v>45291</v>
          </cell>
        </row>
        <row r="294">
          <cell r="A294">
            <v>45322</v>
          </cell>
        </row>
        <row r="295">
          <cell r="A295">
            <v>45350</v>
          </cell>
        </row>
        <row r="296">
          <cell r="A296">
            <v>45382</v>
          </cell>
        </row>
        <row r="297">
          <cell r="A297">
            <v>45412</v>
          </cell>
        </row>
        <row r="298">
          <cell r="A298">
            <v>45443</v>
          </cell>
        </row>
        <row r="299">
          <cell r="A299">
            <v>45473</v>
          </cell>
        </row>
      </sheetData>
      <sheetData sheetId="7">
        <row r="22">
          <cell r="A22" t="str">
            <v>Fecha corte</v>
          </cell>
        </row>
        <row r="23">
          <cell r="A23">
            <v>38017</v>
          </cell>
          <cell r="B23">
            <v>0.80994806956211773</v>
          </cell>
          <cell r="C23">
            <v>0.19005193043788232</v>
          </cell>
        </row>
        <row r="24">
          <cell r="A24">
            <v>38046</v>
          </cell>
        </row>
        <row r="25">
          <cell r="A25">
            <v>38077</v>
          </cell>
        </row>
        <row r="26">
          <cell r="A26">
            <v>38107</v>
          </cell>
        </row>
        <row r="27">
          <cell r="A27">
            <v>38138</v>
          </cell>
        </row>
        <row r="28">
          <cell r="A28">
            <v>38168</v>
          </cell>
        </row>
        <row r="29">
          <cell r="A29">
            <v>38199</v>
          </cell>
        </row>
        <row r="30">
          <cell r="A30">
            <v>38230</v>
          </cell>
        </row>
        <row r="31">
          <cell r="A31">
            <v>38260</v>
          </cell>
        </row>
        <row r="32">
          <cell r="A32">
            <v>38291</v>
          </cell>
        </row>
        <row r="33">
          <cell r="A33">
            <v>38321</v>
          </cell>
        </row>
        <row r="34">
          <cell r="A34">
            <v>38352</v>
          </cell>
        </row>
        <row r="35">
          <cell r="A35">
            <v>38383</v>
          </cell>
        </row>
        <row r="36">
          <cell r="A36">
            <v>38411</v>
          </cell>
        </row>
        <row r="37">
          <cell r="A37">
            <v>38442</v>
          </cell>
        </row>
        <row r="38">
          <cell r="A38">
            <v>38472</v>
          </cell>
        </row>
        <row r="39">
          <cell r="A39">
            <v>38503</v>
          </cell>
        </row>
        <row r="40">
          <cell r="A40">
            <v>38533</v>
          </cell>
        </row>
        <row r="41">
          <cell r="A41">
            <v>38564</v>
          </cell>
        </row>
        <row r="42">
          <cell r="A42">
            <v>38595</v>
          </cell>
        </row>
        <row r="43">
          <cell r="A43">
            <v>38625</v>
          </cell>
        </row>
        <row r="44">
          <cell r="A44">
            <v>38656</v>
          </cell>
        </row>
        <row r="45">
          <cell r="A45">
            <v>38686</v>
          </cell>
        </row>
        <row r="46">
          <cell r="A46">
            <v>38717</v>
          </cell>
        </row>
        <row r="47">
          <cell r="A47">
            <v>38748</v>
          </cell>
        </row>
        <row r="48">
          <cell r="A48">
            <v>38776</v>
          </cell>
        </row>
        <row r="49">
          <cell r="A49">
            <v>38807</v>
          </cell>
        </row>
        <row r="50">
          <cell r="A50">
            <v>38837</v>
          </cell>
        </row>
        <row r="51">
          <cell r="A51">
            <v>38868</v>
          </cell>
        </row>
        <row r="52">
          <cell r="A52">
            <v>38898</v>
          </cell>
        </row>
        <row r="53">
          <cell r="A53">
            <v>38929</v>
          </cell>
        </row>
        <row r="54">
          <cell r="A54">
            <v>38960</v>
          </cell>
        </row>
        <row r="55">
          <cell r="A55">
            <v>38990</v>
          </cell>
        </row>
        <row r="56">
          <cell r="A56">
            <v>39021</v>
          </cell>
        </row>
        <row r="57">
          <cell r="A57">
            <v>39051</v>
          </cell>
        </row>
        <row r="58">
          <cell r="A58">
            <v>39082</v>
          </cell>
        </row>
        <row r="59">
          <cell r="A59">
            <v>39113</v>
          </cell>
        </row>
        <row r="60">
          <cell r="A60">
            <v>39141</v>
          </cell>
        </row>
        <row r="61">
          <cell r="A61">
            <v>39172</v>
          </cell>
        </row>
        <row r="62">
          <cell r="A62">
            <v>39202</v>
          </cell>
        </row>
        <row r="63">
          <cell r="A63">
            <v>39233</v>
          </cell>
        </row>
        <row r="64">
          <cell r="A64">
            <v>39263</v>
          </cell>
        </row>
        <row r="65">
          <cell r="A65">
            <v>39294</v>
          </cell>
        </row>
        <row r="66">
          <cell r="A66">
            <v>39325</v>
          </cell>
        </row>
        <row r="67">
          <cell r="A67">
            <v>39355</v>
          </cell>
        </row>
        <row r="68">
          <cell r="A68">
            <v>39386</v>
          </cell>
        </row>
        <row r="69">
          <cell r="A69">
            <v>39416</v>
          </cell>
        </row>
        <row r="70">
          <cell r="A70">
            <v>39447</v>
          </cell>
        </row>
        <row r="71">
          <cell r="A71">
            <v>39478</v>
          </cell>
        </row>
        <row r="72">
          <cell r="A72">
            <v>39507</v>
          </cell>
        </row>
        <row r="73">
          <cell r="A73">
            <v>39538</v>
          </cell>
        </row>
        <row r="74">
          <cell r="A74">
            <v>39568</v>
          </cell>
        </row>
        <row r="75">
          <cell r="A75">
            <v>39599</v>
          </cell>
        </row>
        <row r="76">
          <cell r="A76">
            <v>39629</v>
          </cell>
        </row>
        <row r="77">
          <cell r="A77">
            <v>39660</v>
          </cell>
        </row>
        <row r="78">
          <cell r="A78">
            <v>39691</v>
          </cell>
        </row>
        <row r="79">
          <cell r="A79">
            <v>39721</v>
          </cell>
        </row>
        <row r="80">
          <cell r="A80">
            <v>39752</v>
          </cell>
        </row>
        <row r="81">
          <cell r="A81">
            <v>39782</v>
          </cell>
        </row>
        <row r="82">
          <cell r="A82">
            <v>39813</v>
          </cell>
        </row>
        <row r="83">
          <cell r="A83">
            <v>39844</v>
          </cell>
        </row>
        <row r="84">
          <cell r="A84">
            <v>39872</v>
          </cell>
        </row>
        <row r="85">
          <cell r="A85">
            <v>39903</v>
          </cell>
        </row>
        <row r="86">
          <cell r="A86">
            <v>39933</v>
          </cell>
        </row>
        <row r="87">
          <cell r="A87">
            <v>39964</v>
          </cell>
        </row>
        <row r="88">
          <cell r="A88">
            <v>39994</v>
          </cell>
        </row>
        <row r="89">
          <cell r="A89">
            <v>40025</v>
          </cell>
        </row>
        <row r="90">
          <cell r="A90">
            <v>40056</v>
          </cell>
        </row>
        <row r="91">
          <cell r="A91">
            <v>40086</v>
          </cell>
        </row>
        <row r="92">
          <cell r="A92">
            <v>40117</v>
          </cell>
        </row>
        <row r="93">
          <cell r="A93">
            <v>40147</v>
          </cell>
        </row>
        <row r="94">
          <cell r="A94">
            <v>40178</v>
          </cell>
        </row>
        <row r="95">
          <cell r="A95">
            <v>40209</v>
          </cell>
        </row>
        <row r="96">
          <cell r="A96">
            <v>40237</v>
          </cell>
        </row>
        <row r="97">
          <cell r="A97">
            <v>40268</v>
          </cell>
        </row>
        <row r="98">
          <cell r="A98">
            <v>40298</v>
          </cell>
        </row>
        <row r="99">
          <cell r="A99">
            <v>40329</v>
          </cell>
        </row>
        <row r="100">
          <cell r="A100">
            <v>40359</v>
          </cell>
        </row>
        <row r="101">
          <cell r="A101">
            <v>40390</v>
          </cell>
        </row>
        <row r="102">
          <cell r="A102">
            <v>40421</v>
          </cell>
        </row>
        <row r="103">
          <cell r="A103">
            <v>40451</v>
          </cell>
        </row>
        <row r="104">
          <cell r="A104">
            <v>40482</v>
          </cell>
        </row>
        <row r="105">
          <cell r="A105">
            <v>40512</v>
          </cell>
        </row>
        <row r="106">
          <cell r="A106">
            <v>40543</v>
          </cell>
        </row>
        <row r="107">
          <cell r="A107">
            <v>40574</v>
          </cell>
        </row>
        <row r="108">
          <cell r="A108">
            <v>40602</v>
          </cell>
        </row>
        <row r="109">
          <cell r="A109">
            <v>40633</v>
          </cell>
        </row>
        <row r="110">
          <cell r="A110">
            <v>40663</v>
          </cell>
        </row>
        <row r="111">
          <cell r="A111">
            <v>40694</v>
          </cell>
        </row>
        <row r="112">
          <cell r="A112">
            <v>40724</v>
          </cell>
        </row>
        <row r="113">
          <cell r="A113">
            <v>40755</v>
          </cell>
        </row>
        <row r="114">
          <cell r="A114">
            <v>40786</v>
          </cell>
        </row>
        <row r="115">
          <cell r="A115">
            <v>40816</v>
          </cell>
        </row>
        <row r="116">
          <cell r="A116">
            <v>40847</v>
          </cell>
        </row>
        <row r="117">
          <cell r="A117">
            <v>40877</v>
          </cell>
        </row>
        <row r="118">
          <cell r="A118">
            <v>40878</v>
          </cell>
        </row>
        <row r="119">
          <cell r="A119">
            <v>40909</v>
          </cell>
        </row>
        <row r="120">
          <cell r="A120">
            <v>40940</v>
          </cell>
        </row>
        <row r="121">
          <cell r="A121">
            <v>40969</v>
          </cell>
        </row>
        <row r="122">
          <cell r="A122">
            <v>41000</v>
          </cell>
        </row>
        <row r="123">
          <cell r="A123">
            <v>41030</v>
          </cell>
        </row>
        <row r="124">
          <cell r="A124">
            <v>41061</v>
          </cell>
        </row>
        <row r="125">
          <cell r="A125">
            <v>41091</v>
          </cell>
        </row>
        <row r="126">
          <cell r="A126">
            <v>41122</v>
          </cell>
        </row>
        <row r="127">
          <cell r="A127">
            <v>41182</v>
          </cell>
        </row>
        <row r="128">
          <cell r="A128">
            <v>41213</v>
          </cell>
        </row>
        <row r="129">
          <cell r="A129">
            <v>41243</v>
          </cell>
        </row>
        <row r="130">
          <cell r="A130">
            <v>41274</v>
          </cell>
        </row>
        <row r="131">
          <cell r="A131">
            <v>41305</v>
          </cell>
        </row>
        <row r="132">
          <cell r="A132">
            <v>41333</v>
          </cell>
        </row>
        <row r="133">
          <cell r="A133">
            <v>41364</v>
          </cell>
        </row>
        <row r="134">
          <cell r="A134">
            <v>41394</v>
          </cell>
        </row>
        <row r="135">
          <cell r="A135">
            <v>41425</v>
          </cell>
        </row>
        <row r="136">
          <cell r="A136">
            <v>41455</v>
          </cell>
        </row>
        <row r="137">
          <cell r="A137">
            <v>41486</v>
          </cell>
        </row>
        <row r="138">
          <cell r="A138">
            <v>41517</v>
          </cell>
        </row>
        <row r="139">
          <cell r="A139">
            <v>41547</v>
          </cell>
        </row>
        <row r="140">
          <cell r="A140">
            <v>41578</v>
          </cell>
        </row>
        <row r="141">
          <cell r="A141">
            <v>41608</v>
          </cell>
        </row>
        <row r="142">
          <cell r="A142">
            <v>41639</v>
          </cell>
        </row>
        <row r="143">
          <cell r="A143">
            <v>41670</v>
          </cell>
        </row>
        <row r="144">
          <cell r="A144">
            <v>41698</v>
          </cell>
        </row>
        <row r="145">
          <cell r="A145">
            <v>41729</v>
          </cell>
        </row>
        <row r="146">
          <cell r="A146">
            <v>41759</v>
          </cell>
        </row>
        <row r="147">
          <cell r="A147">
            <v>41790</v>
          </cell>
        </row>
        <row r="148">
          <cell r="A148">
            <v>41820</v>
          </cell>
        </row>
        <row r="149">
          <cell r="A149">
            <v>41851</v>
          </cell>
        </row>
        <row r="150">
          <cell r="A150">
            <v>41882</v>
          </cell>
        </row>
        <row r="151">
          <cell r="A151">
            <v>41912</v>
          </cell>
        </row>
        <row r="152">
          <cell r="A152">
            <v>41943</v>
          </cell>
        </row>
        <row r="153">
          <cell r="A153">
            <v>41973</v>
          </cell>
        </row>
        <row r="154">
          <cell r="A154">
            <v>42004</v>
          </cell>
        </row>
        <row r="155">
          <cell r="A155">
            <v>42035</v>
          </cell>
        </row>
        <row r="156">
          <cell r="A156">
            <v>42063</v>
          </cell>
        </row>
        <row r="157">
          <cell r="A157">
            <v>42094</v>
          </cell>
        </row>
        <row r="158">
          <cell r="A158">
            <v>42124</v>
          </cell>
        </row>
        <row r="159">
          <cell r="A159">
            <v>42155</v>
          </cell>
        </row>
        <row r="160">
          <cell r="A160">
            <v>42185</v>
          </cell>
        </row>
        <row r="161">
          <cell r="A161">
            <v>42216</v>
          </cell>
        </row>
        <row r="162">
          <cell r="A162">
            <v>42247</v>
          </cell>
        </row>
        <row r="163">
          <cell r="A163">
            <v>42277</v>
          </cell>
        </row>
        <row r="164">
          <cell r="A164">
            <v>42308</v>
          </cell>
        </row>
        <row r="165">
          <cell r="A165">
            <v>42338</v>
          </cell>
        </row>
        <row r="166">
          <cell r="A166">
            <v>42369</v>
          </cell>
        </row>
        <row r="167">
          <cell r="A167">
            <v>42400</v>
          </cell>
        </row>
        <row r="168">
          <cell r="A168">
            <v>42429</v>
          </cell>
        </row>
        <row r="169">
          <cell r="A169">
            <v>42460</v>
          </cell>
        </row>
        <row r="170">
          <cell r="A170">
            <v>42490</v>
          </cell>
        </row>
        <row r="171">
          <cell r="A171">
            <v>42521</v>
          </cell>
        </row>
        <row r="172">
          <cell r="A172">
            <v>42551</v>
          </cell>
        </row>
        <row r="173">
          <cell r="A173">
            <v>42582</v>
          </cell>
        </row>
        <row r="174">
          <cell r="A174">
            <v>42613</v>
          </cell>
        </row>
        <row r="175">
          <cell r="A175">
            <v>42643</v>
          </cell>
        </row>
        <row r="176">
          <cell r="A176">
            <v>42674</v>
          </cell>
        </row>
        <row r="177">
          <cell r="A177">
            <v>42704</v>
          </cell>
        </row>
        <row r="178">
          <cell r="A178">
            <v>42735</v>
          </cell>
        </row>
        <row r="179">
          <cell r="A179">
            <v>42766</v>
          </cell>
        </row>
        <row r="180">
          <cell r="A180">
            <v>42794</v>
          </cell>
        </row>
        <row r="181">
          <cell r="A181">
            <v>42825</v>
          </cell>
        </row>
        <row r="182">
          <cell r="A182">
            <v>42855</v>
          </cell>
        </row>
        <row r="183">
          <cell r="A183">
            <v>42886</v>
          </cell>
        </row>
        <row r="184">
          <cell r="A184">
            <v>42916</v>
          </cell>
        </row>
        <row r="185">
          <cell r="A185">
            <v>42947</v>
          </cell>
        </row>
        <row r="186">
          <cell r="A186">
            <v>42978</v>
          </cell>
        </row>
        <row r="187">
          <cell r="A187">
            <v>43008</v>
          </cell>
        </row>
        <row r="188">
          <cell r="A188">
            <v>43039</v>
          </cell>
        </row>
        <row r="189">
          <cell r="A189">
            <v>43069</v>
          </cell>
        </row>
        <row r="190">
          <cell r="A190">
            <v>43100</v>
          </cell>
        </row>
        <row r="191">
          <cell r="A191">
            <v>43131</v>
          </cell>
        </row>
        <row r="192">
          <cell r="A192">
            <v>43159</v>
          </cell>
        </row>
        <row r="193">
          <cell r="A193">
            <v>43190</v>
          </cell>
        </row>
        <row r="194">
          <cell r="A194">
            <v>43220</v>
          </cell>
        </row>
        <row r="195">
          <cell r="A195">
            <v>43251</v>
          </cell>
        </row>
        <row r="196">
          <cell r="A196">
            <v>43281</v>
          </cell>
        </row>
        <row r="197">
          <cell r="A197">
            <v>43312</v>
          </cell>
        </row>
        <row r="198">
          <cell r="A198">
            <v>43343</v>
          </cell>
        </row>
        <row r="199">
          <cell r="A199">
            <v>43373</v>
          </cell>
        </row>
        <row r="200">
          <cell r="A200">
            <v>43404</v>
          </cell>
        </row>
        <row r="201">
          <cell r="A201">
            <v>43434</v>
          </cell>
        </row>
        <row r="202">
          <cell r="A202">
            <v>43465</v>
          </cell>
        </row>
        <row r="203">
          <cell r="A203">
            <v>43496</v>
          </cell>
        </row>
        <row r="204">
          <cell r="A204">
            <v>43524</v>
          </cell>
        </row>
        <row r="205">
          <cell r="A205">
            <v>43555</v>
          </cell>
        </row>
        <row r="206">
          <cell r="A206">
            <v>43585</v>
          </cell>
        </row>
        <row r="207">
          <cell r="A207">
            <v>43616</v>
          </cell>
        </row>
        <row r="208">
          <cell r="A208">
            <v>43646</v>
          </cell>
        </row>
        <row r="209">
          <cell r="A209">
            <v>43677</v>
          </cell>
        </row>
        <row r="210">
          <cell r="A210">
            <v>43708</v>
          </cell>
        </row>
        <row r="211">
          <cell r="A211">
            <v>43738</v>
          </cell>
        </row>
        <row r="212">
          <cell r="A212">
            <v>43769</v>
          </cell>
        </row>
        <row r="213">
          <cell r="A213">
            <v>43799</v>
          </cell>
        </row>
        <row r="214">
          <cell r="A214">
            <v>43830</v>
          </cell>
        </row>
        <row r="215">
          <cell r="A215">
            <v>43861</v>
          </cell>
        </row>
        <row r="216">
          <cell r="A216">
            <v>43890</v>
          </cell>
        </row>
        <row r="217">
          <cell r="A217">
            <v>43921</v>
          </cell>
        </row>
        <row r="218">
          <cell r="A218">
            <v>43951</v>
          </cell>
        </row>
        <row r="219">
          <cell r="A219">
            <v>43982</v>
          </cell>
        </row>
        <row r="220">
          <cell r="A220">
            <v>44012</v>
          </cell>
        </row>
        <row r="221">
          <cell r="A221">
            <v>44043</v>
          </cell>
        </row>
        <row r="222">
          <cell r="A222">
            <v>44074</v>
          </cell>
        </row>
        <row r="223">
          <cell r="A223">
            <v>44104</v>
          </cell>
        </row>
        <row r="224">
          <cell r="A224">
            <v>44135</v>
          </cell>
        </row>
        <row r="225">
          <cell r="A225">
            <v>44165</v>
          </cell>
        </row>
        <row r="226">
          <cell r="A226">
            <v>44196</v>
          </cell>
        </row>
        <row r="227">
          <cell r="A227">
            <v>44227</v>
          </cell>
        </row>
        <row r="228">
          <cell r="A228">
            <v>44255</v>
          </cell>
        </row>
        <row r="229">
          <cell r="A229">
            <v>44286</v>
          </cell>
        </row>
        <row r="230">
          <cell r="A230">
            <v>44316</v>
          </cell>
        </row>
        <row r="231">
          <cell r="A231">
            <v>44347</v>
          </cell>
        </row>
        <row r="232">
          <cell r="A232">
            <v>44377</v>
          </cell>
        </row>
        <row r="233">
          <cell r="A233">
            <v>44408</v>
          </cell>
        </row>
        <row r="234">
          <cell r="A234">
            <v>44439</v>
          </cell>
        </row>
        <row r="235">
          <cell r="A235">
            <v>44469</v>
          </cell>
        </row>
        <row r="236">
          <cell r="A236">
            <v>44500</v>
          </cell>
        </row>
        <row r="237">
          <cell r="A237">
            <v>44530</v>
          </cell>
        </row>
        <row r="238">
          <cell r="A238">
            <v>44561</v>
          </cell>
        </row>
        <row r="239">
          <cell r="A239">
            <v>44592</v>
          </cell>
        </row>
        <row r="240">
          <cell r="A240">
            <v>44620</v>
          </cell>
        </row>
        <row r="241">
          <cell r="A241">
            <v>44651</v>
          </cell>
        </row>
        <row r="242">
          <cell r="A242">
            <v>44681</v>
          </cell>
        </row>
        <row r="243">
          <cell r="A243">
            <v>44712</v>
          </cell>
        </row>
        <row r="244">
          <cell r="A244">
            <v>44742</v>
          </cell>
        </row>
        <row r="245">
          <cell r="A245">
            <v>44773</v>
          </cell>
        </row>
        <row r="246">
          <cell r="A246">
            <v>44804</v>
          </cell>
        </row>
        <row r="247">
          <cell r="A247">
            <v>44834</v>
          </cell>
        </row>
        <row r="248">
          <cell r="A248">
            <v>44865</v>
          </cell>
        </row>
        <row r="249">
          <cell r="A249">
            <v>44895</v>
          </cell>
        </row>
        <row r="250">
          <cell r="A250">
            <v>44926</v>
          </cell>
        </row>
        <row r="251">
          <cell r="A251">
            <v>44957</v>
          </cell>
        </row>
        <row r="252">
          <cell r="A252">
            <v>44985</v>
          </cell>
        </row>
        <row r="253">
          <cell r="A253">
            <v>45016</v>
          </cell>
        </row>
        <row r="254">
          <cell r="A254">
            <v>45046</v>
          </cell>
        </row>
        <row r="255">
          <cell r="A255">
            <v>45077</v>
          </cell>
        </row>
        <row r="256">
          <cell r="A256">
            <v>45107</v>
          </cell>
        </row>
        <row r="257">
          <cell r="A257">
            <v>45138</v>
          </cell>
        </row>
        <row r="258">
          <cell r="A258">
            <v>45169</v>
          </cell>
        </row>
        <row r="259">
          <cell r="A259">
            <v>45199</v>
          </cell>
        </row>
        <row r="260">
          <cell r="A260">
            <v>45230</v>
          </cell>
        </row>
        <row r="261">
          <cell r="A261">
            <v>45260</v>
          </cell>
        </row>
        <row r="262">
          <cell r="A262">
            <v>45291</v>
          </cell>
        </row>
        <row r="263">
          <cell r="A263">
            <v>45322</v>
          </cell>
        </row>
        <row r="264">
          <cell r="A264">
            <v>45350</v>
          </cell>
        </row>
        <row r="265">
          <cell r="A265">
            <v>45382</v>
          </cell>
        </row>
        <row r="266">
          <cell r="A266">
            <v>45412</v>
          </cell>
        </row>
        <row r="267">
          <cell r="A267">
            <v>45443</v>
          </cell>
        </row>
        <row r="268">
          <cell r="A268">
            <v>45473</v>
          </cell>
        </row>
      </sheetData>
      <sheetData sheetId="8">
        <row r="22">
          <cell r="A22" t="str">
            <v>Fecha corte</v>
          </cell>
        </row>
        <row r="23">
          <cell r="A23">
            <v>38017</v>
          </cell>
          <cell r="B23">
            <v>0.79007638149610082</v>
          </cell>
          <cell r="C23">
            <v>0.20992361850389926</v>
          </cell>
        </row>
        <row r="24">
          <cell r="A24">
            <v>38046</v>
          </cell>
        </row>
        <row r="25">
          <cell r="A25">
            <v>38077</v>
          </cell>
        </row>
        <row r="26">
          <cell r="A26">
            <v>38107</v>
          </cell>
        </row>
        <row r="27">
          <cell r="A27">
            <v>38138</v>
          </cell>
        </row>
        <row r="28">
          <cell r="A28">
            <v>38168</v>
          </cell>
        </row>
        <row r="29">
          <cell r="A29">
            <v>38199</v>
          </cell>
        </row>
        <row r="30">
          <cell r="A30">
            <v>38230</v>
          </cell>
        </row>
        <row r="31">
          <cell r="A31">
            <v>38260</v>
          </cell>
        </row>
        <row r="32">
          <cell r="A32">
            <v>38291</v>
          </cell>
        </row>
        <row r="33">
          <cell r="A33">
            <v>38321</v>
          </cell>
        </row>
        <row r="34">
          <cell r="A34">
            <v>38352</v>
          </cell>
        </row>
        <row r="35">
          <cell r="A35">
            <v>38383</v>
          </cell>
        </row>
        <row r="36">
          <cell r="A36">
            <v>38411</v>
          </cell>
        </row>
        <row r="37">
          <cell r="A37">
            <v>38442</v>
          </cell>
        </row>
        <row r="38">
          <cell r="A38">
            <v>38472</v>
          </cell>
        </row>
        <row r="39">
          <cell r="A39">
            <v>38503</v>
          </cell>
        </row>
        <row r="40">
          <cell r="A40">
            <v>38533</v>
          </cell>
        </row>
        <row r="41">
          <cell r="A41">
            <v>38564</v>
          </cell>
        </row>
        <row r="42">
          <cell r="A42">
            <v>38595</v>
          </cell>
        </row>
        <row r="43">
          <cell r="A43">
            <v>38625</v>
          </cell>
        </row>
        <row r="44">
          <cell r="A44">
            <v>38656</v>
          </cell>
        </row>
        <row r="45">
          <cell r="A45">
            <v>38686</v>
          </cell>
        </row>
        <row r="46">
          <cell r="A46">
            <v>38717</v>
          </cell>
        </row>
        <row r="47">
          <cell r="A47">
            <v>38748</v>
          </cell>
        </row>
        <row r="48">
          <cell r="A48">
            <v>38776</v>
          </cell>
        </row>
        <row r="49">
          <cell r="A49">
            <v>38807</v>
          </cell>
        </row>
        <row r="50">
          <cell r="A50">
            <v>38837</v>
          </cell>
        </row>
        <row r="51">
          <cell r="A51">
            <v>38868</v>
          </cell>
        </row>
        <row r="52">
          <cell r="A52">
            <v>38898</v>
          </cell>
        </row>
        <row r="53">
          <cell r="A53">
            <v>38929</v>
          </cell>
        </row>
        <row r="54">
          <cell r="A54">
            <v>38960</v>
          </cell>
        </row>
        <row r="55">
          <cell r="A55">
            <v>38990</v>
          </cell>
        </row>
        <row r="56">
          <cell r="A56">
            <v>39021</v>
          </cell>
        </row>
        <row r="57">
          <cell r="A57">
            <v>39051</v>
          </cell>
        </row>
        <row r="58">
          <cell r="A58">
            <v>39082</v>
          </cell>
        </row>
        <row r="59">
          <cell r="A59">
            <v>39113</v>
          </cell>
        </row>
        <row r="60">
          <cell r="A60">
            <v>39141</v>
          </cell>
        </row>
        <row r="61">
          <cell r="A61">
            <v>39172</v>
          </cell>
        </row>
        <row r="62">
          <cell r="A62">
            <v>39202</v>
          </cell>
        </row>
        <row r="63">
          <cell r="A63">
            <v>39203</v>
          </cell>
        </row>
        <row r="64">
          <cell r="A64">
            <v>39234</v>
          </cell>
        </row>
        <row r="65">
          <cell r="A65">
            <v>39264</v>
          </cell>
        </row>
        <row r="66">
          <cell r="A66">
            <v>39325</v>
          </cell>
        </row>
        <row r="67">
          <cell r="A67">
            <v>39355</v>
          </cell>
        </row>
        <row r="68">
          <cell r="A68">
            <v>39386</v>
          </cell>
        </row>
        <row r="69">
          <cell r="A69">
            <v>39416</v>
          </cell>
        </row>
        <row r="70">
          <cell r="A70">
            <v>39447</v>
          </cell>
        </row>
        <row r="71">
          <cell r="A71">
            <v>39478</v>
          </cell>
        </row>
        <row r="72">
          <cell r="A72">
            <v>39507</v>
          </cell>
        </row>
        <row r="73">
          <cell r="A73">
            <v>39538</v>
          </cell>
        </row>
        <row r="74">
          <cell r="A74">
            <v>39568</v>
          </cell>
        </row>
        <row r="75">
          <cell r="A75">
            <v>39599</v>
          </cell>
        </row>
        <row r="76">
          <cell r="A76">
            <v>39629</v>
          </cell>
        </row>
        <row r="77">
          <cell r="A77">
            <v>39660</v>
          </cell>
        </row>
        <row r="78">
          <cell r="A78">
            <v>39691</v>
          </cell>
        </row>
        <row r="79">
          <cell r="A79">
            <v>39721</v>
          </cell>
        </row>
        <row r="80">
          <cell r="A80">
            <v>39752</v>
          </cell>
        </row>
        <row r="81">
          <cell r="A81">
            <v>39782</v>
          </cell>
        </row>
        <row r="82">
          <cell r="A82">
            <v>39813</v>
          </cell>
        </row>
        <row r="83">
          <cell r="A83">
            <v>39844</v>
          </cell>
        </row>
        <row r="84">
          <cell r="A84">
            <v>39872</v>
          </cell>
        </row>
        <row r="85">
          <cell r="A85">
            <v>39903</v>
          </cell>
        </row>
        <row r="86">
          <cell r="A86">
            <v>39933</v>
          </cell>
        </row>
        <row r="87">
          <cell r="A87">
            <v>39964</v>
          </cell>
        </row>
        <row r="88">
          <cell r="A88">
            <v>39994</v>
          </cell>
        </row>
        <row r="89">
          <cell r="A89">
            <v>40025</v>
          </cell>
        </row>
        <row r="90">
          <cell r="A90">
            <v>40056</v>
          </cell>
        </row>
        <row r="91">
          <cell r="A91">
            <v>40086</v>
          </cell>
        </row>
        <row r="92">
          <cell r="A92">
            <v>40117</v>
          </cell>
        </row>
        <row r="93">
          <cell r="A93">
            <v>40147</v>
          </cell>
        </row>
        <row r="94">
          <cell r="A94">
            <v>40178</v>
          </cell>
        </row>
        <row r="95">
          <cell r="A95">
            <v>40209</v>
          </cell>
        </row>
        <row r="96">
          <cell r="A96">
            <v>40237</v>
          </cell>
        </row>
        <row r="97">
          <cell r="A97">
            <v>40268</v>
          </cell>
        </row>
        <row r="98">
          <cell r="A98">
            <v>40298</v>
          </cell>
        </row>
        <row r="99">
          <cell r="A99">
            <v>40329</v>
          </cell>
        </row>
        <row r="100">
          <cell r="A100">
            <v>40359</v>
          </cell>
        </row>
        <row r="101">
          <cell r="A101">
            <v>40390</v>
          </cell>
        </row>
        <row r="102">
          <cell r="A102">
            <v>40421</v>
          </cell>
        </row>
        <row r="103">
          <cell r="A103">
            <v>40451</v>
          </cell>
        </row>
        <row r="104">
          <cell r="A104">
            <v>40482</v>
          </cell>
        </row>
        <row r="105">
          <cell r="A105">
            <v>40512</v>
          </cell>
        </row>
        <row r="106">
          <cell r="A106">
            <v>40543</v>
          </cell>
        </row>
        <row r="107">
          <cell r="A107">
            <v>40574</v>
          </cell>
        </row>
        <row r="108">
          <cell r="A108">
            <v>40602</v>
          </cell>
        </row>
        <row r="109">
          <cell r="A109">
            <v>40633</v>
          </cell>
        </row>
        <row r="110">
          <cell r="A110">
            <v>40663</v>
          </cell>
        </row>
        <row r="111">
          <cell r="A111">
            <v>40694</v>
          </cell>
        </row>
        <row r="112">
          <cell r="A112">
            <v>40724</v>
          </cell>
        </row>
        <row r="113">
          <cell r="A113">
            <v>40755</v>
          </cell>
        </row>
        <row r="114">
          <cell r="A114">
            <v>40786</v>
          </cell>
        </row>
        <row r="115">
          <cell r="A115">
            <v>40816</v>
          </cell>
        </row>
        <row r="116">
          <cell r="A116">
            <v>40847</v>
          </cell>
        </row>
        <row r="117">
          <cell r="A117">
            <v>40877</v>
          </cell>
        </row>
        <row r="118">
          <cell r="A118">
            <v>40878</v>
          </cell>
        </row>
        <row r="119">
          <cell r="A119">
            <v>40909</v>
          </cell>
        </row>
        <row r="120">
          <cell r="A120">
            <v>40940</v>
          </cell>
        </row>
        <row r="121">
          <cell r="A121">
            <v>40969</v>
          </cell>
        </row>
        <row r="122">
          <cell r="A122">
            <v>41000</v>
          </cell>
        </row>
        <row r="123">
          <cell r="A123">
            <v>41030</v>
          </cell>
        </row>
        <row r="124">
          <cell r="A124">
            <v>41061</v>
          </cell>
        </row>
        <row r="125">
          <cell r="A125">
            <v>41091</v>
          </cell>
        </row>
        <row r="126">
          <cell r="A126">
            <v>41122</v>
          </cell>
        </row>
        <row r="127">
          <cell r="A127">
            <v>41182</v>
          </cell>
        </row>
        <row r="128">
          <cell r="A128">
            <v>41213</v>
          </cell>
        </row>
        <row r="129">
          <cell r="A129">
            <v>41243</v>
          </cell>
        </row>
        <row r="130">
          <cell r="A130">
            <v>41274</v>
          </cell>
        </row>
        <row r="131">
          <cell r="A131">
            <v>41305</v>
          </cell>
        </row>
        <row r="132">
          <cell r="A132">
            <v>41333</v>
          </cell>
        </row>
        <row r="133">
          <cell r="A133">
            <v>41334</v>
          </cell>
        </row>
        <row r="134">
          <cell r="A134">
            <v>41394</v>
          </cell>
        </row>
        <row r="135">
          <cell r="A135">
            <v>41425</v>
          </cell>
        </row>
        <row r="136">
          <cell r="A136">
            <v>41455</v>
          </cell>
        </row>
        <row r="137">
          <cell r="A137">
            <v>41486</v>
          </cell>
        </row>
        <row r="138">
          <cell r="A138">
            <v>41517</v>
          </cell>
        </row>
        <row r="139">
          <cell r="A139">
            <v>41547</v>
          </cell>
        </row>
        <row r="140">
          <cell r="A140">
            <v>41578</v>
          </cell>
        </row>
        <row r="141">
          <cell r="A141">
            <v>41608</v>
          </cell>
        </row>
        <row r="142">
          <cell r="A142">
            <v>41639</v>
          </cell>
        </row>
        <row r="143">
          <cell r="A143">
            <v>41670</v>
          </cell>
        </row>
        <row r="144">
          <cell r="A144">
            <v>41698</v>
          </cell>
        </row>
        <row r="145">
          <cell r="A145">
            <v>41729</v>
          </cell>
        </row>
        <row r="146">
          <cell r="A146">
            <v>41759</v>
          </cell>
        </row>
        <row r="147">
          <cell r="A147">
            <v>41790</v>
          </cell>
        </row>
        <row r="148">
          <cell r="A148">
            <v>41820</v>
          </cell>
        </row>
        <row r="149">
          <cell r="A149">
            <v>41851</v>
          </cell>
        </row>
        <row r="150">
          <cell r="A150">
            <v>41882</v>
          </cell>
        </row>
        <row r="151">
          <cell r="A151">
            <v>41912</v>
          </cell>
        </row>
        <row r="152">
          <cell r="A152">
            <v>41943</v>
          </cell>
        </row>
        <row r="153">
          <cell r="A153">
            <v>41973</v>
          </cell>
        </row>
        <row r="154">
          <cell r="A154">
            <v>42004</v>
          </cell>
        </row>
        <row r="155">
          <cell r="A155">
            <v>42035</v>
          </cell>
        </row>
        <row r="156">
          <cell r="A156">
            <v>42063</v>
          </cell>
        </row>
        <row r="157">
          <cell r="A157">
            <v>42094</v>
          </cell>
        </row>
        <row r="158">
          <cell r="A158">
            <v>42124</v>
          </cell>
        </row>
        <row r="159">
          <cell r="A159">
            <v>42155</v>
          </cell>
        </row>
        <row r="160">
          <cell r="A160">
            <v>42185</v>
          </cell>
        </row>
        <row r="161">
          <cell r="A161">
            <v>42216</v>
          </cell>
        </row>
        <row r="162">
          <cell r="A162">
            <v>42247</v>
          </cell>
        </row>
        <row r="163">
          <cell r="A163">
            <v>42277</v>
          </cell>
        </row>
        <row r="164">
          <cell r="A164">
            <v>42308</v>
          </cell>
        </row>
        <row r="165">
          <cell r="A165">
            <v>42338</v>
          </cell>
        </row>
        <row r="166">
          <cell r="A166">
            <v>42369</v>
          </cell>
        </row>
        <row r="167">
          <cell r="A167">
            <v>42400</v>
          </cell>
        </row>
        <row r="168">
          <cell r="A168">
            <v>42429</v>
          </cell>
        </row>
        <row r="169">
          <cell r="A169">
            <v>42460</v>
          </cell>
        </row>
        <row r="170">
          <cell r="A170">
            <v>42490</v>
          </cell>
        </row>
        <row r="171">
          <cell r="A171">
            <v>42521</v>
          </cell>
        </row>
        <row r="172">
          <cell r="A172">
            <v>42551</v>
          </cell>
        </row>
        <row r="173">
          <cell r="A173">
            <v>42582</v>
          </cell>
        </row>
        <row r="174">
          <cell r="A174">
            <v>42613</v>
          </cell>
        </row>
        <row r="175">
          <cell r="A175">
            <v>42643</v>
          </cell>
        </row>
        <row r="176">
          <cell r="A176">
            <v>42674</v>
          </cell>
        </row>
        <row r="177">
          <cell r="A177">
            <v>42704</v>
          </cell>
        </row>
        <row r="178">
          <cell r="A178">
            <v>42735</v>
          </cell>
        </row>
        <row r="179">
          <cell r="A179">
            <v>42766</v>
          </cell>
        </row>
        <row r="180">
          <cell r="A180">
            <v>42794</v>
          </cell>
        </row>
        <row r="181">
          <cell r="A181">
            <v>42825</v>
          </cell>
        </row>
        <row r="182">
          <cell r="A182">
            <v>42855</v>
          </cell>
        </row>
        <row r="183">
          <cell r="A183">
            <v>42886</v>
          </cell>
        </row>
        <row r="184">
          <cell r="A184">
            <v>42916</v>
          </cell>
        </row>
        <row r="185">
          <cell r="A185">
            <v>42947</v>
          </cell>
        </row>
        <row r="186">
          <cell r="A186">
            <v>42978</v>
          </cell>
        </row>
        <row r="187">
          <cell r="A187">
            <v>43008</v>
          </cell>
        </row>
        <row r="188">
          <cell r="A188">
            <v>43039</v>
          </cell>
        </row>
        <row r="189">
          <cell r="A189">
            <v>43069</v>
          </cell>
        </row>
        <row r="190">
          <cell r="A190">
            <v>43100</v>
          </cell>
        </row>
        <row r="191">
          <cell r="A191">
            <v>43131</v>
          </cell>
        </row>
        <row r="192">
          <cell r="A192">
            <v>43159</v>
          </cell>
        </row>
        <row r="193">
          <cell r="A193">
            <v>43190</v>
          </cell>
        </row>
        <row r="194">
          <cell r="A194">
            <v>43220</v>
          </cell>
        </row>
        <row r="195">
          <cell r="A195">
            <v>43251</v>
          </cell>
        </row>
        <row r="196">
          <cell r="A196">
            <v>43281</v>
          </cell>
        </row>
        <row r="197">
          <cell r="A197">
            <v>43312</v>
          </cell>
        </row>
        <row r="198">
          <cell r="A198">
            <v>43343</v>
          </cell>
        </row>
        <row r="199">
          <cell r="A199">
            <v>43373</v>
          </cell>
        </row>
        <row r="200">
          <cell r="A200">
            <v>43404</v>
          </cell>
        </row>
        <row r="201">
          <cell r="A201">
            <v>43434</v>
          </cell>
        </row>
        <row r="202">
          <cell r="A202">
            <v>43465</v>
          </cell>
        </row>
        <row r="203">
          <cell r="A203">
            <v>43496</v>
          </cell>
        </row>
        <row r="204">
          <cell r="A204">
            <v>43524</v>
          </cell>
        </row>
        <row r="205">
          <cell r="A205">
            <v>43555</v>
          </cell>
        </row>
        <row r="206">
          <cell r="A206">
            <v>43585</v>
          </cell>
        </row>
        <row r="207">
          <cell r="A207">
            <v>43616</v>
          </cell>
        </row>
        <row r="208">
          <cell r="A208">
            <v>43646</v>
          </cell>
        </row>
        <row r="209">
          <cell r="A209">
            <v>43677</v>
          </cell>
        </row>
        <row r="210">
          <cell r="A210">
            <v>43708</v>
          </cell>
        </row>
        <row r="211">
          <cell r="A211">
            <v>43738</v>
          </cell>
        </row>
        <row r="212">
          <cell r="A212">
            <v>43769</v>
          </cell>
        </row>
        <row r="213">
          <cell r="A213">
            <v>43799</v>
          </cell>
        </row>
        <row r="214">
          <cell r="A214">
            <v>43830</v>
          </cell>
        </row>
        <row r="215">
          <cell r="A215">
            <v>43861</v>
          </cell>
        </row>
        <row r="216">
          <cell r="A216">
            <v>43890</v>
          </cell>
        </row>
        <row r="217">
          <cell r="A217">
            <v>43921</v>
          </cell>
        </row>
        <row r="218">
          <cell r="A218">
            <v>43951</v>
          </cell>
        </row>
        <row r="219">
          <cell r="A219">
            <v>43982</v>
          </cell>
        </row>
        <row r="220">
          <cell r="A220">
            <v>44012</v>
          </cell>
        </row>
        <row r="221">
          <cell r="A221">
            <v>44043</v>
          </cell>
        </row>
        <row r="222">
          <cell r="A222">
            <v>44074</v>
          </cell>
        </row>
        <row r="223">
          <cell r="A223">
            <v>44104</v>
          </cell>
        </row>
        <row r="224">
          <cell r="A224">
            <v>44135</v>
          </cell>
        </row>
        <row r="225">
          <cell r="A225">
            <v>44165</v>
          </cell>
        </row>
        <row r="226">
          <cell r="A226">
            <v>44196</v>
          </cell>
        </row>
        <row r="227">
          <cell r="A227">
            <v>44227</v>
          </cell>
        </row>
        <row r="228">
          <cell r="A228">
            <v>44255</v>
          </cell>
        </row>
        <row r="229">
          <cell r="A229">
            <v>44286</v>
          </cell>
        </row>
        <row r="230">
          <cell r="A230">
            <v>44316</v>
          </cell>
        </row>
        <row r="231">
          <cell r="A231">
            <v>44347</v>
          </cell>
        </row>
        <row r="232">
          <cell r="A232">
            <v>44377</v>
          </cell>
        </row>
        <row r="233">
          <cell r="A233">
            <v>44408</v>
          </cell>
        </row>
        <row r="234">
          <cell r="A234">
            <v>44439</v>
          </cell>
        </row>
        <row r="235">
          <cell r="A235">
            <v>44469</v>
          </cell>
        </row>
        <row r="236">
          <cell r="A236">
            <v>44500</v>
          </cell>
        </row>
        <row r="237">
          <cell r="A237">
            <v>44530</v>
          </cell>
        </row>
        <row r="238">
          <cell r="A238">
            <v>44561</v>
          </cell>
        </row>
        <row r="239">
          <cell r="A239">
            <v>44592</v>
          </cell>
        </row>
        <row r="240">
          <cell r="A240">
            <v>44620</v>
          </cell>
        </row>
        <row r="241">
          <cell r="A241">
            <v>44651</v>
          </cell>
        </row>
        <row r="242">
          <cell r="A242">
            <v>44681</v>
          </cell>
        </row>
        <row r="243">
          <cell r="A243">
            <v>44712</v>
          </cell>
        </row>
        <row r="244">
          <cell r="A244">
            <v>44742</v>
          </cell>
        </row>
        <row r="245">
          <cell r="A245">
            <v>44773</v>
          </cell>
        </row>
        <row r="246">
          <cell r="A246">
            <v>44804</v>
          </cell>
        </row>
        <row r="247">
          <cell r="A247">
            <v>44834</v>
          </cell>
        </row>
        <row r="248">
          <cell r="A248">
            <v>44865</v>
          </cell>
        </row>
        <row r="249">
          <cell r="A249">
            <v>44895</v>
          </cell>
        </row>
        <row r="250">
          <cell r="A250">
            <v>44926</v>
          </cell>
        </row>
        <row r="251">
          <cell r="A251">
            <v>44957</v>
          </cell>
        </row>
        <row r="252">
          <cell r="A252">
            <v>44985</v>
          </cell>
        </row>
        <row r="253">
          <cell r="A253">
            <v>45016</v>
          </cell>
        </row>
        <row r="254">
          <cell r="A254">
            <v>45046</v>
          </cell>
        </row>
        <row r="255">
          <cell r="A255">
            <v>45077</v>
          </cell>
        </row>
        <row r="256">
          <cell r="A256">
            <v>45107</v>
          </cell>
        </row>
        <row r="257">
          <cell r="A257">
            <v>45138</v>
          </cell>
        </row>
        <row r="258">
          <cell r="A258">
            <v>45169</v>
          </cell>
        </row>
        <row r="259">
          <cell r="A259">
            <v>45199</v>
          </cell>
        </row>
        <row r="260">
          <cell r="A260">
            <v>45230</v>
          </cell>
        </row>
        <row r="261">
          <cell r="A261">
            <v>45260</v>
          </cell>
        </row>
        <row r="262">
          <cell r="A262">
            <v>45291</v>
          </cell>
        </row>
        <row r="263">
          <cell r="A263">
            <v>45322</v>
          </cell>
        </row>
        <row r="264">
          <cell r="A264">
            <v>45350</v>
          </cell>
        </row>
        <row r="265">
          <cell r="A265">
            <v>45382</v>
          </cell>
        </row>
        <row r="266">
          <cell r="A266">
            <v>45412</v>
          </cell>
        </row>
        <row r="267">
          <cell r="A267">
            <v>45443</v>
          </cell>
        </row>
        <row r="268">
          <cell r="A268">
            <v>45473</v>
          </cell>
        </row>
      </sheetData>
      <sheetData sheetId="9">
        <row r="22">
          <cell r="A22" t="str">
            <v>Fecha corte</v>
          </cell>
        </row>
        <row r="23">
          <cell r="A23">
            <v>37072</v>
          </cell>
        </row>
        <row r="24">
          <cell r="A24">
            <v>37103</v>
          </cell>
        </row>
        <row r="25">
          <cell r="A25">
            <v>37134</v>
          </cell>
        </row>
        <row r="26">
          <cell r="A26">
            <v>37164</v>
          </cell>
        </row>
        <row r="27">
          <cell r="A27">
            <v>37195</v>
          </cell>
        </row>
        <row r="28">
          <cell r="A28">
            <v>37225</v>
          </cell>
        </row>
        <row r="29">
          <cell r="A29">
            <v>37256</v>
          </cell>
        </row>
        <row r="30">
          <cell r="A30">
            <v>37287</v>
          </cell>
        </row>
        <row r="31">
          <cell r="A31">
            <v>37315</v>
          </cell>
        </row>
        <row r="32">
          <cell r="A32">
            <v>37346</v>
          </cell>
        </row>
        <row r="33">
          <cell r="A33">
            <v>37376</v>
          </cell>
        </row>
        <row r="34">
          <cell r="A34">
            <v>37407</v>
          </cell>
        </row>
        <row r="35">
          <cell r="A35">
            <v>37437</v>
          </cell>
        </row>
        <row r="36">
          <cell r="A36">
            <v>37468</v>
          </cell>
        </row>
        <row r="37">
          <cell r="A37">
            <v>37499</v>
          </cell>
        </row>
        <row r="38">
          <cell r="A38">
            <v>37529</v>
          </cell>
        </row>
        <row r="39">
          <cell r="A39">
            <v>37560</v>
          </cell>
        </row>
        <row r="40">
          <cell r="A40">
            <v>37590</v>
          </cell>
        </row>
        <row r="41">
          <cell r="A41">
            <v>37621</v>
          </cell>
        </row>
        <row r="42">
          <cell r="A42">
            <v>37652</v>
          </cell>
        </row>
        <row r="43">
          <cell r="A43">
            <v>37680</v>
          </cell>
        </row>
        <row r="44">
          <cell r="A44">
            <v>37711</v>
          </cell>
        </row>
        <row r="45">
          <cell r="A45">
            <v>37741</v>
          </cell>
        </row>
        <row r="46">
          <cell r="A46">
            <v>37772</v>
          </cell>
        </row>
        <row r="47">
          <cell r="A47">
            <v>37802</v>
          </cell>
        </row>
        <row r="48">
          <cell r="A48">
            <v>37833</v>
          </cell>
        </row>
        <row r="49">
          <cell r="A49">
            <v>37864</v>
          </cell>
        </row>
        <row r="50">
          <cell r="A50">
            <v>37894</v>
          </cell>
        </row>
        <row r="51">
          <cell r="A51">
            <v>37925</v>
          </cell>
        </row>
        <row r="52">
          <cell r="A52">
            <v>37955</v>
          </cell>
        </row>
        <row r="53">
          <cell r="A53">
            <v>37986</v>
          </cell>
          <cell r="B53">
            <v>0.68540991767623549</v>
          </cell>
          <cell r="C53">
            <v>0.282729935444402</v>
          </cell>
          <cell r="D53">
            <v>3.1860146879362505E-2</v>
          </cell>
          <cell r="E53">
            <v>0.96813985312063755</v>
          </cell>
        </row>
        <row r="54">
          <cell r="A54">
            <v>38017</v>
          </cell>
        </row>
        <row r="55">
          <cell r="A55">
            <v>38046</v>
          </cell>
        </row>
        <row r="56">
          <cell r="A56">
            <v>38077</v>
          </cell>
        </row>
        <row r="57">
          <cell r="A57">
            <v>38107</v>
          </cell>
        </row>
        <row r="58">
          <cell r="A58">
            <v>38138</v>
          </cell>
        </row>
        <row r="59">
          <cell r="A59">
            <v>38168</v>
          </cell>
        </row>
        <row r="60">
          <cell r="A60">
            <v>38199</v>
          </cell>
        </row>
        <row r="61">
          <cell r="A61">
            <v>38230</v>
          </cell>
        </row>
        <row r="62">
          <cell r="A62">
            <v>38260</v>
          </cell>
        </row>
        <row r="63">
          <cell r="A63">
            <v>38291</v>
          </cell>
        </row>
        <row r="64">
          <cell r="A64">
            <v>38321</v>
          </cell>
        </row>
        <row r="65">
          <cell r="A65">
            <v>38352</v>
          </cell>
        </row>
        <row r="66">
          <cell r="A66">
            <v>38383</v>
          </cell>
        </row>
        <row r="67">
          <cell r="A67">
            <v>38411</v>
          </cell>
        </row>
        <row r="68">
          <cell r="A68">
            <v>38442</v>
          </cell>
        </row>
        <row r="69">
          <cell r="A69">
            <v>38472</v>
          </cell>
        </row>
        <row r="70">
          <cell r="A70">
            <v>38503</v>
          </cell>
        </row>
        <row r="71">
          <cell r="A71">
            <v>38533</v>
          </cell>
        </row>
        <row r="72">
          <cell r="A72">
            <v>38564</v>
          </cell>
        </row>
        <row r="73">
          <cell r="A73">
            <v>38595</v>
          </cell>
        </row>
        <row r="74">
          <cell r="A74">
            <v>38625</v>
          </cell>
        </row>
        <row r="75">
          <cell r="A75">
            <v>38656</v>
          </cell>
        </row>
        <row r="76">
          <cell r="A76">
            <v>38686</v>
          </cell>
        </row>
        <row r="77">
          <cell r="A77">
            <v>38717</v>
          </cell>
        </row>
        <row r="78">
          <cell r="A78">
            <v>38748</v>
          </cell>
        </row>
        <row r="79">
          <cell r="A79">
            <v>38776</v>
          </cell>
        </row>
        <row r="80">
          <cell r="A80">
            <v>38807</v>
          </cell>
        </row>
        <row r="81">
          <cell r="A81">
            <v>38837</v>
          </cell>
        </row>
        <row r="82">
          <cell r="A82">
            <v>38868</v>
          </cell>
        </row>
        <row r="83">
          <cell r="A83">
            <v>38898</v>
          </cell>
        </row>
        <row r="84">
          <cell r="A84">
            <v>38929</v>
          </cell>
        </row>
        <row r="85">
          <cell r="A85">
            <v>38960</v>
          </cell>
        </row>
        <row r="86">
          <cell r="A86">
            <v>38990</v>
          </cell>
        </row>
        <row r="87">
          <cell r="A87">
            <v>39021</v>
          </cell>
        </row>
        <row r="88">
          <cell r="A88">
            <v>39051</v>
          </cell>
        </row>
        <row r="89">
          <cell r="A89">
            <v>39082</v>
          </cell>
        </row>
        <row r="90">
          <cell r="A90">
            <v>39113</v>
          </cell>
        </row>
        <row r="91">
          <cell r="A91">
            <v>39141</v>
          </cell>
        </row>
        <row r="92">
          <cell r="A92">
            <v>39172</v>
          </cell>
        </row>
        <row r="93">
          <cell r="A93">
            <v>39202</v>
          </cell>
        </row>
        <row r="94">
          <cell r="A94">
            <v>39203</v>
          </cell>
        </row>
        <row r="95">
          <cell r="A95">
            <v>39263</v>
          </cell>
        </row>
        <row r="96">
          <cell r="A96">
            <v>39294</v>
          </cell>
        </row>
        <row r="97">
          <cell r="A97">
            <v>39325</v>
          </cell>
        </row>
        <row r="98">
          <cell r="A98">
            <v>39355</v>
          </cell>
        </row>
        <row r="99">
          <cell r="A99">
            <v>39386</v>
          </cell>
        </row>
        <row r="100">
          <cell r="A100">
            <v>39416</v>
          </cell>
        </row>
        <row r="101">
          <cell r="A101">
            <v>39447</v>
          </cell>
        </row>
        <row r="102">
          <cell r="A102">
            <v>39478</v>
          </cell>
        </row>
        <row r="103">
          <cell r="A103">
            <v>39507</v>
          </cell>
        </row>
        <row r="104">
          <cell r="A104">
            <v>39538</v>
          </cell>
        </row>
        <row r="105">
          <cell r="A105">
            <v>39568</v>
          </cell>
        </row>
        <row r="106">
          <cell r="A106">
            <v>39599</v>
          </cell>
        </row>
        <row r="107">
          <cell r="A107">
            <v>39629</v>
          </cell>
        </row>
        <row r="108">
          <cell r="A108">
            <v>39660</v>
          </cell>
        </row>
        <row r="109">
          <cell r="A109">
            <v>39691</v>
          </cell>
        </row>
        <row r="110">
          <cell r="A110">
            <v>39721</v>
          </cell>
        </row>
        <row r="111">
          <cell r="A111">
            <v>39752</v>
          </cell>
        </row>
        <row r="112">
          <cell r="A112">
            <v>39782</v>
          </cell>
        </row>
        <row r="113">
          <cell r="A113">
            <v>39813</v>
          </cell>
        </row>
        <row r="114">
          <cell r="A114">
            <v>39814</v>
          </cell>
        </row>
        <row r="115">
          <cell r="A115">
            <v>39846</v>
          </cell>
        </row>
        <row r="116">
          <cell r="A116">
            <v>39874</v>
          </cell>
        </row>
        <row r="117">
          <cell r="A117">
            <v>39933</v>
          </cell>
        </row>
        <row r="118">
          <cell r="A118">
            <v>39964</v>
          </cell>
        </row>
        <row r="119">
          <cell r="A119">
            <v>39994</v>
          </cell>
        </row>
        <row r="120">
          <cell r="A120">
            <v>40025</v>
          </cell>
        </row>
        <row r="121">
          <cell r="A121">
            <v>40056</v>
          </cell>
        </row>
        <row r="122">
          <cell r="A122">
            <v>40086</v>
          </cell>
        </row>
        <row r="123">
          <cell r="A123">
            <v>40117</v>
          </cell>
        </row>
        <row r="124">
          <cell r="A124">
            <v>40147</v>
          </cell>
        </row>
        <row r="125">
          <cell r="A125">
            <v>40178</v>
          </cell>
        </row>
        <row r="126">
          <cell r="A126">
            <v>40209</v>
          </cell>
        </row>
        <row r="127">
          <cell r="A127">
            <v>40237</v>
          </cell>
        </row>
        <row r="128">
          <cell r="A128">
            <v>40268</v>
          </cell>
        </row>
        <row r="129">
          <cell r="A129">
            <v>40298</v>
          </cell>
        </row>
        <row r="130">
          <cell r="A130">
            <v>40329</v>
          </cell>
        </row>
        <row r="131">
          <cell r="A131">
            <v>40359</v>
          </cell>
        </row>
        <row r="132">
          <cell r="A132">
            <v>40390</v>
          </cell>
        </row>
        <row r="133">
          <cell r="A133">
            <v>40421</v>
          </cell>
        </row>
        <row r="134">
          <cell r="A134">
            <v>40451</v>
          </cell>
        </row>
        <row r="135">
          <cell r="A135">
            <v>40482</v>
          </cell>
        </row>
        <row r="136">
          <cell r="A136">
            <v>40512</v>
          </cell>
        </row>
        <row r="137">
          <cell r="A137">
            <v>40543</v>
          </cell>
        </row>
        <row r="138">
          <cell r="A138">
            <v>40574</v>
          </cell>
        </row>
        <row r="139">
          <cell r="A139">
            <v>40602</v>
          </cell>
        </row>
        <row r="140">
          <cell r="A140">
            <v>40633</v>
          </cell>
        </row>
        <row r="141">
          <cell r="A141">
            <v>40663</v>
          </cell>
        </row>
        <row r="142">
          <cell r="A142">
            <v>40694</v>
          </cell>
        </row>
        <row r="143">
          <cell r="A143">
            <v>40724</v>
          </cell>
        </row>
        <row r="144">
          <cell r="A144">
            <v>40755</v>
          </cell>
        </row>
        <row r="145">
          <cell r="A145">
            <v>40786</v>
          </cell>
        </row>
        <row r="146">
          <cell r="A146">
            <v>40816</v>
          </cell>
        </row>
        <row r="147">
          <cell r="A147">
            <v>40847</v>
          </cell>
        </row>
        <row r="148">
          <cell r="A148">
            <v>40877</v>
          </cell>
        </row>
        <row r="149">
          <cell r="A149">
            <v>40878</v>
          </cell>
        </row>
        <row r="150">
          <cell r="A150">
            <v>40909</v>
          </cell>
        </row>
        <row r="151">
          <cell r="A151">
            <v>40940</v>
          </cell>
        </row>
        <row r="152">
          <cell r="A152">
            <v>40969</v>
          </cell>
        </row>
        <row r="153">
          <cell r="A153">
            <v>41000</v>
          </cell>
        </row>
        <row r="154">
          <cell r="A154">
            <v>41030</v>
          </cell>
        </row>
        <row r="155">
          <cell r="A155">
            <v>41061</v>
          </cell>
        </row>
        <row r="156">
          <cell r="A156">
            <v>41091</v>
          </cell>
        </row>
        <row r="157">
          <cell r="A157">
            <v>41122</v>
          </cell>
        </row>
        <row r="158">
          <cell r="A158">
            <v>41182</v>
          </cell>
        </row>
        <row r="159">
          <cell r="A159">
            <v>41213</v>
          </cell>
        </row>
        <row r="160">
          <cell r="A160">
            <v>41243</v>
          </cell>
        </row>
        <row r="161">
          <cell r="A161">
            <v>41274</v>
          </cell>
        </row>
        <row r="162">
          <cell r="A162">
            <v>41305</v>
          </cell>
        </row>
        <row r="163">
          <cell r="A163">
            <v>41333</v>
          </cell>
        </row>
        <row r="164">
          <cell r="A164">
            <v>41334</v>
          </cell>
        </row>
        <row r="165">
          <cell r="A165">
            <v>41394</v>
          </cell>
        </row>
        <row r="166">
          <cell r="A166">
            <v>41425</v>
          </cell>
        </row>
        <row r="167">
          <cell r="A167">
            <v>41455</v>
          </cell>
        </row>
        <row r="168">
          <cell r="A168">
            <v>41486</v>
          </cell>
        </row>
        <row r="169">
          <cell r="A169">
            <v>41517</v>
          </cell>
        </row>
        <row r="170">
          <cell r="A170">
            <v>41547</v>
          </cell>
        </row>
        <row r="171">
          <cell r="A171">
            <v>41578</v>
          </cell>
        </row>
        <row r="172">
          <cell r="A172">
            <v>41608</v>
          </cell>
        </row>
        <row r="173">
          <cell r="A173">
            <v>41639</v>
          </cell>
        </row>
        <row r="174">
          <cell r="A174">
            <v>41670</v>
          </cell>
        </row>
        <row r="175">
          <cell r="A175">
            <v>41698</v>
          </cell>
        </row>
        <row r="176">
          <cell r="A176">
            <v>41729</v>
          </cell>
        </row>
        <row r="177">
          <cell r="A177">
            <v>41759</v>
          </cell>
        </row>
        <row r="178">
          <cell r="A178">
            <v>41790</v>
          </cell>
        </row>
        <row r="179">
          <cell r="A179">
            <v>41820</v>
          </cell>
        </row>
        <row r="180">
          <cell r="A180">
            <v>41851</v>
          </cell>
        </row>
        <row r="181">
          <cell r="A181">
            <v>41882</v>
          </cell>
        </row>
        <row r="182">
          <cell r="A182">
            <v>41912</v>
          </cell>
        </row>
        <row r="183">
          <cell r="A183">
            <v>41943</v>
          </cell>
        </row>
        <row r="184">
          <cell r="A184">
            <v>41973</v>
          </cell>
        </row>
        <row r="185">
          <cell r="A185">
            <v>42004</v>
          </cell>
        </row>
        <row r="186">
          <cell r="A186">
            <v>42035</v>
          </cell>
        </row>
        <row r="187">
          <cell r="A187">
            <v>42063</v>
          </cell>
        </row>
        <row r="188">
          <cell r="A188">
            <v>42094</v>
          </cell>
        </row>
        <row r="189">
          <cell r="A189">
            <v>42124</v>
          </cell>
        </row>
        <row r="190">
          <cell r="A190">
            <v>42155</v>
          </cell>
        </row>
        <row r="191">
          <cell r="A191">
            <v>42185</v>
          </cell>
        </row>
        <row r="192">
          <cell r="A192">
            <v>42216</v>
          </cell>
        </row>
        <row r="193">
          <cell r="A193">
            <v>42247</v>
          </cell>
        </row>
        <row r="194">
          <cell r="A194">
            <v>42277</v>
          </cell>
        </row>
        <row r="195">
          <cell r="A195">
            <v>42308</v>
          </cell>
        </row>
        <row r="196">
          <cell r="A196">
            <v>42338</v>
          </cell>
        </row>
        <row r="197">
          <cell r="A197">
            <v>42369</v>
          </cell>
        </row>
        <row r="198">
          <cell r="A198">
            <v>42400</v>
          </cell>
        </row>
        <row r="199">
          <cell r="A199">
            <v>42429</v>
          </cell>
        </row>
        <row r="200">
          <cell r="A200">
            <v>42460</v>
          </cell>
        </row>
        <row r="201">
          <cell r="A201">
            <v>42490</v>
          </cell>
        </row>
        <row r="202">
          <cell r="A202">
            <v>42521</v>
          </cell>
        </row>
        <row r="203">
          <cell r="A203">
            <v>42551</v>
          </cell>
        </row>
        <row r="204">
          <cell r="A204">
            <v>42582</v>
          </cell>
        </row>
        <row r="205">
          <cell r="A205">
            <v>42613</v>
          </cell>
        </row>
        <row r="206">
          <cell r="A206">
            <v>42643</v>
          </cell>
        </row>
        <row r="207">
          <cell r="A207">
            <v>42674</v>
          </cell>
        </row>
        <row r="208">
          <cell r="A208">
            <v>42704</v>
          </cell>
        </row>
        <row r="209">
          <cell r="A209">
            <v>42735</v>
          </cell>
        </row>
        <row r="210">
          <cell r="A210">
            <v>42766</v>
          </cell>
        </row>
        <row r="211">
          <cell r="A211">
            <v>42794</v>
          </cell>
        </row>
        <row r="212">
          <cell r="A212">
            <v>42825</v>
          </cell>
        </row>
        <row r="213">
          <cell r="A213">
            <v>42855</v>
          </cell>
        </row>
        <row r="214">
          <cell r="A214">
            <v>42886</v>
          </cell>
        </row>
        <row r="215">
          <cell r="A215">
            <v>42916</v>
          </cell>
        </row>
        <row r="216">
          <cell r="A216">
            <v>42947</v>
          </cell>
        </row>
        <row r="217">
          <cell r="A217">
            <v>42978</v>
          </cell>
        </row>
        <row r="218">
          <cell r="A218">
            <v>43008</v>
          </cell>
        </row>
        <row r="219">
          <cell r="A219">
            <v>43039</v>
          </cell>
        </row>
        <row r="220">
          <cell r="A220">
            <v>43069</v>
          </cell>
        </row>
        <row r="221">
          <cell r="A221">
            <v>43100</v>
          </cell>
        </row>
        <row r="222">
          <cell r="A222">
            <v>43131</v>
          </cell>
        </row>
        <row r="223">
          <cell r="A223">
            <v>43159</v>
          </cell>
        </row>
        <row r="224">
          <cell r="A224">
            <v>43190</v>
          </cell>
        </row>
        <row r="225">
          <cell r="A225">
            <v>43220</v>
          </cell>
        </row>
        <row r="226">
          <cell r="A226">
            <v>43251</v>
          </cell>
        </row>
        <row r="227">
          <cell r="A227">
            <v>43281</v>
          </cell>
        </row>
        <row r="228">
          <cell r="A228">
            <v>43312</v>
          </cell>
        </row>
        <row r="229">
          <cell r="A229">
            <v>43343</v>
          </cell>
        </row>
        <row r="230">
          <cell r="A230">
            <v>43373</v>
          </cell>
        </row>
        <row r="231">
          <cell r="A231">
            <v>43404</v>
          </cell>
        </row>
        <row r="232">
          <cell r="A232">
            <v>43434</v>
          </cell>
        </row>
        <row r="233">
          <cell r="A233">
            <v>43435</v>
          </cell>
        </row>
        <row r="234">
          <cell r="A234">
            <v>43496</v>
          </cell>
        </row>
        <row r="235">
          <cell r="A235">
            <v>43524</v>
          </cell>
        </row>
        <row r="236">
          <cell r="A236">
            <v>43555</v>
          </cell>
        </row>
        <row r="237">
          <cell r="A237">
            <v>43585</v>
          </cell>
        </row>
        <row r="238">
          <cell r="A238">
            <v>43616</v>
          </cell>
        </row>
        <row r="239">
          <cell r="A239">
            <v>43646</v>
          </cell>
        </row>
        <row r="240">
          <cell r="A240">
            <v>43677</v>
          </cell>
        </row>
        <row r="241">
          <cell r="A241">
            <v>43708</v>
          </cell>
        </row>
        <row r="242">
          <cell r="A242">
            <v>43738</v>
          </cell>
        </row>
        <row r="243">
          <cell r="A243">
            <v>43769</v>
          </cell>
        </row>
        <row r="244">
          <cell r="A244">
            <v>43799</v>
          </cell>
        </row>
        <row r="245">
          <cell r="A245">
            <v>43830</v>
          </cell>
        </row>
        <row r="246">
          <cell r="A246">
            <v>43861</v>
          </cell>
        </row>
        <row r="247">
          <cell r="A247">
            <v>43890</v>
          </cell>
        </row>
        <row r="248">
          <cell r="A248">
            <v>43921</v>
          </cell>
        </row>
        <row r="249">
          <cell r="A249">
            <v>43951</v>
          </cell>
        </row>
        <row r="250">
          <cell r="A250">
            <v>43982</v>
          </cell>
        </row>
        <row r="251">
          <cell r="A251">
            <v>44012</v>
          </cell>
        </row>
        <row r="252">
          <cell r="A252">
            <v>44043</v>
          </cell>
        </row>
        <row r="253">
          <cell r="A253">
            <v>44074</v>
          </cell>
        </row>
        <row r="254">
          <cell r="A254">
            <v>44104</v>
          </cell>
        </row>
        <row r="255">
          <cell r="A255">
            <v>44135</v>
          </cell>
        </row>
        <row r="256">
          <cell r="A256">
            <v>44165</v>
          </cell>
        </row>
        <row r="257">
          <cell r="A257">
            <v>44196</v>
          </cell>
        </row>
        <row r="258">
          <cell r="A258">
            <v>44227</v>
          </cell>
        </row>
        <row r="259">
          <cell r="A259">
            <v>44255</v>
          </cell>
        </row>
        <row r="260">
          <cell r="A260">
            <v>44286</v>
          </cell>
        </row>
        <row r="261">
          <cell r="A261">
            <v>44316</v>
          </cell>
        </row>
        <row r="262">
          <cell r="A262">
            <v>44347</v>
          </cell>
        </row>
        <row r="263">
          <cell r="A263">
            <v>44377</v>
          </cell>
        </row>
        <row r="264">
          <cell r="A264">
            <v>44408</v>
          </cell>
        </row>
        <row r="265">
          <cell r="A265">
            <v>44439</v>
          </cell>
        </row>
        <row r="266">
          <cell r="A266">
            <v>44469</v>
          </cell>
        </row>
        <row r="267">
          <cell r="A267">
            <v>44500</v>
          </cell>
        </row>
        <row r="268">
          <cell r="A268">
            <v>44530</v>
          </cell>
        </row>
        <row r="269">
          <cell r="A269">
            <v>44561</v>
          </cell>
        </row>
        <row r="270">
          <cell r="A270">
            <v>44592</v>
          </cell>
        </row>
        <row r="271">
          <cell r="A271">
            <v>44620</v>
          </cell>
        </row>
        <row r="272">
          <cell r="A272">
            <v>44651</v>
          </cell>
        </row>
        <row r="273">
          <cell r="A273">
            <v>44681</v>
          </cell>
        </row>
        <row r="274">
          <cell r="A274">
            <v>44712</v>
          </cell>
        </row>
        <row r="275">
          <cell r="A275">
            <v>44742</v>
          </cell>
        </row>
        <row r="276">
          <cell r="A276">
            <v>44773</v>
          </cell>
        </row>
        <row r="277">
          <cell r="A277">
            <v>44804</v>
          </cell>
        </row>
        <row r="278">
          <cell r="A278">
            <v>44834</v>
          </cell>
        </row>
        <row r="279">
          <cell r="A279">
            <v>44865</v>
          </cell>
        </row>
        <row r="280">
          <cell r="A280">
            <v>44895</v>
          </cell>
        </row>
        <row r="281">
          <cell r="A281">
            <v>44926</v>
          </cell>
        </row>
        <row r="282">
          <cell r="A282">
            <v>44957</v>
          </cell>
        </row>
        <row r="283">
          <cell r="A283">
            <v>44985</v>
          </cell>
        </row>
        <row r="284">
          <cell r="A284">
            <v>45016</v>
          </cell>
        </row>
        <row r="285">
          <cell r="A285">
            <v>45046</v>
          </cell>
        </row>
        <row r="286">
          <cell r="A286">
            <v>45077</v>
          </cell>
        </row>
        <row r="287">
          <cell r="A287">
            <v>45107</v>
          </cell>
        </row>
        <row r="288">
          <cell r="A288">
            <v>45138</v>
          </cell>
        </row>
        <row r="289">
          <cell r="A289">
            <v>45169</v>
          </cell>
        </row>
        <row r="290">
          <cell r="A290">
            <v>45199</v>
          </cell>
        </row>
        <row r="291">
          <cell r="A291">
            <v>45230</v>
          </cell>
        </row>
        <row r="292">
          <cell r="A292">
            <v>45260</v>
          </cell>
        </row>
        <row r="293">
          <cell r="A293">
            <v>45291</v>
          </cell>
        </row>
        <row r="294">
          <cell r="A294">
            <v>45322</v>
          </cell>
        </row>
        <row r="295">
          <cell r="A295">
            <v>45350</v>
          </cell>
        </row>
        <row r="296">
          <cell r="A296">
            <v>45382</v>
          </cell>
        </row>
        <row r="297">
          <cell r="A297">
            <v>45412</v>
          </cell>
        </row>
        <row r="298">
          <cell r="A298">
            <v>45443</v>
          </cell>
        </row>
        <row r="299">
          <cell r="A299">
            <v>45473</v>
          </cell>
        </row>
      </sheetData>
      <sheetData sheetId="10">
        <row r="22">
          <cell r="A22" t="str">
            <v>Fecha corte</v>
          </cell>
        </row>
        <row r="23">
          <cell r="A23">
            <v>37072</v>
          </cell>
        </row>
        <row r="24">
          <cell r="A24">
            <v>37103</v>
          </cell>
        </row>
        <row r="25">
          <cell r="A25">
            <v>37134</v>
          </cell>
        </row>
        <row r="26">
          <cell r="A26">
            <v>37164</v>
          </cell>
        </row>
        <row r="27">
          <cell r="A27">
            <v>37195</v>
          </cell>
        </row>
        <row r="28">
          <cell r="A28">
            <v>37225</v>
          </cell>
        </row>
        <row r="29">
          <cell r="A29">
            <v>37256</v>
          </cell>
        </row>
        <row r="30">
          <cell r="A30">
            <v>37287</v>
          </cell>
        </row>
        <row r="31">
          <cell r="A31">
            <v>37315</v>
          </cell>
        </row>
        <row r="32">
          <cell r="A32">
            <v>37346</v>
          </cell>
        </row>
        <row r="33">
          <cell r="A33">
            <v>37376</v>
          </cell>
        </row>
        <row r="34">
          <cell r="A34">
            <v>37407</v>
          </cell>
        </row>
        <row r="35">
          <cell r="A35">
            <v>37437</v>
          </cell>
        </row>
        <row r="36">
          <cell r="A36">
            <v>37468</v>
          </cell>
        </row>
        <row r="37">
          <cell r="A37">
            <v>37499</v>
          </cell>
        </row>
        <row r="38">
          <cell r="A38">
            <v>37529</v>
          </cell>
        </row>
        <row r="39">
          <cell r="A39">
            <v>37560</v>
          </cell>
        </row>
        <row r="40">
          <cell r="A40">
            <v>37590</v>
          </cell>
        </row>
        <row r="41">
          <cell r="A41">
            <v>37621</v>
          </cell>
        </row>
        <row r="42">
          <cell r="A42">
            <v>37652</v>
          </cell>
        </row>
        <row r="43">
          <cell r="A43">
            <v>37680</v>
          </cell>
        </row>
        <row r="44">
          <cell r="A44">
            <v>37711</v>
          </cell>
        </row>
        <row r="45">
          <cell r="A45">
            <v>37741</v>
          </cell>
        </row>
        <row r="46">
          <cell r="A46">
            <v>37772</v>
          </cell>
        </row>
        <row r="47">
          <cell r="A47">
            <v>37802</v>
          </cell>
        </row>
        <row r="48">
          <cell r="A48">
            <v>37833</v>
          </cell>
        </row>
        <row r="49">
          <cell r="A49">
            <v>37864</v>
          </cell>
        </row>
        <row r="50">
          <cell r="A50">
            <v>37894</v>
          </cell>
        </row>
        <row r="51">
          <cell r="A51">
            <v>37925</v>
          </cell>
        </row>
        <row r="52">
          <cell r="A52">
            <v>37955</v>
          </cell>
        </row>
        <row r="53">
          <cell r="A53">
            <v>37986</v>
          </cell>
        </row>
        <row r="54">
          <cell r="A54">
            <v>38017</v>
          </cell>
          <cell r="B54">
            <v>0.83150648812439432</v>
          </cell>
          <cell r="C54">
            <v>0.1264605102868098</v>
          </cell>
          <cell r="D54">
            <v>3.3284131475784344E-2</v>
          </cell>
          <cell r="E54">
            <v>8.7488701130115226E-3</v>
          </cell>
          <cell r="F54">
            <v>0</v>
          </cell>
        </row>
        <row r="55">
          <cell r="A55">
            <v>38046</v>
          </cell>
        </row>
        <row r="56">
          <cell r="A56">
            <v>38077</v>
          </cell>
        </row>
        <row r="57">
          <cell r="A57">
            <v>38107</v>
          </cell>
        </row>
        <row r="58">
          <cell r="A58">
            <v>38138</v>
          </cell>
        </row>
        <row r="59">
          <cell r="A59">
            <v>38168</v>
          </cell>
        </row>
        <row r="60">
          <cell r="A60">
            <v>38199</v>
          </cell>
        </row>
        <row r="61">
          <cell r="A61">
            <v>38230</v>
          </cell>
        </row>
        <row r="62">
          <cell r="A62">
            <v>38260</v>
          </cell>
        </row>
        <row r="63">
          <cell r="A63">
            <v>38291</v>
          </cell>
        </row>
        <row r="64">
          <cell r="A64">
            <v>38321</v>
          </cell>
        </row>
        <row r="65">
          <cell r="A65">
            <v>38352</v>
          </cell>
        </row>
        <row r="66">
          <cell r="A66">
            <v>38383</v>
          </cell>
        </row>
        <row r="67">
          <cell r="A67">
            <v>38411</v>
          </cell>
        </row>
        <row r="68">
          <cell r="A68">
            <v>38442</v>
          </cell>
        </row>
        <row r="69">
          <cell r="A69">
            <v>38472</v>
          </cell>
        </row>
        <row r="70">
          <cell r="A70">
            <v>38503</v>
          </cell>
        </row>
        <row r="71">
          <cell r="A71">
            <v>38533</v>
          </cell>
        </row>
        <row r="72">
          <cell r="A72">
            <v>38564</v>
          </cell>
        </row>
        <row r="73">
          <cell r="A73">
            <v>38595</v>
          </cell>
        </row>
        <row r="74">
          <cell r="A74">
            <v>38625</v>
          </cell>
        </row>
        <row r="75">
          <cell r="A75">
            <v>38656</v>
          </cell>
        </row>
        <row r="76">
          <cell r="A76">
            <v>38686</v>
          </cell>
        </row>
        <row r="77">
          <cell r="A77">
            <v>38717</v>
          </cell>
        </row>
        <row r="78">
          <cell r="A78">
            <v>38748</v>
          </cell>
        </row>
        <row r="79">
          <cell r="A79">
            <v>38776</v>
          </cell>
        </row>
        <row r="80">
          <cell r="A80">
            <v>38807</v>
          </cell>
        </row>
        <row r="81">
          <cell r="A81">
            <v>38837</v>
          </cell>
        </row>
        <row r="82">
          <cell r="A82">
            <v>38868</v>
          </cell>
        </row>
        <row r="83">
          <cell r="A83">
            <v>38898</v>
          </cell>
        </row>
        <row r="84">
          <cell r="A84">
            <v>38929</v>
          </cell>
        </row>
        <row r="85">
          <cell r="A85">
            <v>38960</v>
          </cell>
        </row>
        <row r="86">
          <cell r="A86">
            <v>38990</v>
          </cell>
        </row>
        <row r="87">
          <cell r="A87">
            <v>39021</v>
          </cell>
        </row>
        <row r="88">
          <cell r="A88">
            <v>39051</v>
          </cell>
        </row>
        <row r="89">
          <cell r="A89">
            <v>39082</v>
          </cell>
        </row>
        <row r="90">
          <cell r="A90">
            <v>39113</v>
          </cell>
        </row>
        <row r="91">
          <cell r="A91">
            <v>39141</v>
          </cell>
        </row>
        <row r="92">
          <cell r="A92">
            <v>39172</v>
          </cell>
        </row>
        <row r="93">
          <cell r="A93">
            <v>39202</v>
          </cell>
        </row>
        <row r="94">
          <cell r="A94">
            <v>39233</v>
          </cell>
        </row>
        <row r="95">
          <cell r="A95">
            <v>39263</v>
          </cell>
        </row>
        <row r="96">
          <cell r="A96">
            <v>39294</v>
          </cell>
        </row>
        <row r="97">
          <cell r="A97">
            <v>39325</v>
          </cell>
        </row>
        <row r="98">
          <cell r="A98">
            <v>39355</v>
          </cell>
        </row>
        <row r="99">
          <cell r="A99">
            <v>39386</v>
          </cell>
        </row>
        <row r="100">
          <cell r="A100">
            <v>39416</v>
          </cell>
        </row>
        <row r="101">
          <cell r="A101">
            <v>39447</v>
          </cell>
        </row>
        <row r="102">
          <cell r="A102">
            <v>39478</v>
          </cell>
        </row>
        <row r="103">
          <cell r="A103">
            <v>39507</v>
          </cell>
        </row>
        <row r="104">
          <cell r="A104">
            <v>39538</v>
          </cell>
        </row>
        <row r="105">
          <cell r="A105">
            <v>39568</v>
          </cell>
        </row>
        <row r="106">
          <cell r="A106">
            <v>39599</v>
          </cell>
        </row>
        <row r="107">
          <cell r="A107">
            <v>39629</v>
          </cell>
        </row>
        <row r="108">
          <cell r="A108">
            <v>39660</v>
          </cell>
        </row>
        <row r="109">
          <cell r="A109">
            <v>39691</v>
          </cell>
        </row>
        <row r="110">
          <cell r="A110">
            <v>39721</v>
          </cell>
        </row>
        <row r="111">
          <cell r="A111">
            <v>39752</v>
          </cell>
        </row>
        <row r="112">
          <cell r="A112">
            <v>39782</v>
          </cell>
        </row>
        <row r="113">
          <cell r="A113">
            <v>39813</v>
          </cell>
        </row>
        <row r="114">
          <cell r="A114">
            <v>39844</v>
          </cell>
        </row>
        <row r="115">
          <cell r="A115">
            <v>39872</v>
          </cell>
        </row>
        <row r="116">
          <cell r="A116">
            <v>39903</v>
          </cell>
        </row>
        <row r="117">
          <cell r="A117">
            <v>39933</v>
          </cell>
        </row>
        <row r="118">
          <cell r="A118">
            <v>39964</v>
          </cell>
        </row>
        <row r="119">
          <cell r="A119">
            <v>39994</v>
          </cell>
        </row>
        <row r="120">
          <cell r="A120">
            <v>40025</v>
          </cell>
        </row>
        <row r="121">
          <cell r="A121">
            <v>40056</v>
          </cell>
        </row>
        <row r="122">
          <cell r="A122">
            <v>40086</v>
          </cell>
        </row>
        <row r="123">
          <cell r="A123">
            <v>40117</v>
          </cell>
        </row>
        <row r="124">
          <cell r="A124">
            <v>40147</v>
          </cell>
        </row>
        <row r="125">
          <cell r="A125">
            <v>40178</v>
          </cell>
        </row>
        <row r="126">
          <cell r="A126">
            <v>40209</v>
          </cell>
        </row>
        <row r="127">
          <cell r="A127">
            <v>40237</v>
          </cell>
        </row>
        <row r="128">
          <cell r="A128">
            <v>40268</v>
          </cell>
        </row>
        <row r="129">
          <cell r="A129">
            <v>40298</v>
          </cell>
        </row>
        <row r="130">
          <cell r="A130">
            <v>40329</v>
          </cell>
        </row>
        <row r="131">
          <cell r="A131">
            <v>40359</v>
          </cell>
        </row>
        <row r="132">
          <cell r="A132">
            <v>40390</v>
          </cell>
        </row>
        <row r="133">
          <cell r="A133">
            <v>40421</v>
          </cell>
        </row>
        <row r="134">
          <cell r="A134">
            <v>40451</v>
          </cell>
        </row>
        <row r="135">
          <cell r="A135">
            <v>40482</v>
          </cell>
        </row>
        <row r="136">
          <cell r="A136">
            <v>40512</v>
          </cell>
        </row>
        <row r="137">
          <cell r="A137">
            <v>40543</v>
          </cell>
        </row>
        <row r="138">
          <cell r="A138">
            <v>40574</v>
          </cell>
        </row>
        <row r="139">
          <cell r="A139">
            <v>40602</v>
          </cell>
        </row>
        <row r="140">
          <cell r="A140">
            <v>40633</v>
          </cell>
        </row>
        <row r="141">
          <cell r="A141">
            <v>40663</v>
          </cell>
        </row>
        <row r="142">
          <cell r="A142">
            <v>40694</v>
          </cell>
        </row>
        <row r="143">
          <cell r="A143">
            <v>40724</v>
          </cell>
        </row>
        <row r="144">
          <cell r="A144">
            <v>40755</v>
          </cell>
        </row>
        <row r="145">
          <cell r="A145">
            <v>40786</v>
          </cell>
        </row>
        <row r="146">
          <cell r="A146">
            <v>40816</v>
          </cell>
        </row>
        <row r="147">
          <cell r="A147">
            <v>40847</v>
          </cell>
        </row>
        <row r="148">
          <cell r="A148">
            <v>40877</v>
          </cell>
        </row>
        <row r="149">
          <cell r="A149">
            <v>40878</v>
          </cell>
        </row>
        <row r="150">
          <cell r="A150">
            <v>40909</v>
          </cell>
        </row>
        <row r="151">
          <cell r="A151">
            <v>40940</v>
          </cell>
        </row>
        <row r="152">
          <cell r="A152">
            <v>40969</v>
          </cell>
        </row>
        <row r="153">
          <cell r="A153">
            <v>41000</v>
          </cell>
        </row>
        <row r="154">
          <cell r="A154">
            <v>41030</v>
          </cell>
        </row>
        <row r="155">
          <cell r="A155">
            <v>41061</v>
          </cell>
        </row>
        <row r="156">
          <cell r="A156">
            <v>41091</v>
          </cell>
        </row>
        <row r="157">
          <cell r="A157">
            <v>41122</v>
          </cell>
        </row>
        <row r="158">
          <cell r="A158">
            <v>41182</v>
          </cell>
        </row>
        <row r="159">
          <cell r="A159">
            <v>41213</v>
          </cell>
        </row>
        <row r="160">
          <cell r="A160">
            <v>41243</v>
          </cell>
        </row>
        <row r="161">
          <cell r="A161">
            <v>41274</v>
          </cell>
        </row>
        <row r="162">
          <cell r="A162">
            <v>41305</v>
          </cell>
        </row>
        <row r="163">
          <cell r="A163">
            <v>41333</v>
          </cell>
        </row>
        <row r="164">
          <cell r="A164">
            <v>41334</v>
          </cell>
        </row>
        <row r="165">
          <cell r="A165">
            <v>41394</v>
          </cell>
        </row>
        <row r="166">
          <cell r="A166">
            <v>41425</v>
          </cell>
        </row>
        <row r="167">
          <cell r="A167">
            <v>41455</v>
          </cell>
        </row>
        <row r="168">
          <cell r="A168">
            <v>41486</v>
          </cell>
        </row>
        <row r="169">
          <cell r="A169">
            <v>41517</v>
          </cell>
        </row>
        <row r="170">
          <cell r="A170">
            <v>41547</v>
          </cell>
        </row>
        <row r="171">
          <cell r="A171">
            <v>41578</v>
          </cell>
        </row>
        <row r="172">
          <cell r="A172">
            <v>41608</v>
          </cell>
        </row>
        <row r="173">
          <cell r="A173">
            <v>41639</v>
          </cell>
        </row>
        <row r="174">
          <cell r="A174">
            <v>41670</v>
          </cell>
        </row>
        <row r="175">
          <cell r="A175">
            <v>41698</v>
          </cell>
        </row>
        <row r="176">
          <cell r="A176">
            <v>41729</v>
          </cell>
        </row>
        <row r="177">
          <cell r="A177">
            <v>41759</v>
          </cell>
        </row>
        <row r="178">
          <cell r="A178">
            <v>41790</v>
          </cell>
        </row>
        <row r="179">
          <cell r="A179">
            <v>41820</v>
          </cell>
        </row>
        <row r="180">
          <cell r="A180">
            <v>41851</v>
          </cell>
        </row>
        <row r="181">
          <cell r="A181">
            <v>41882</v>
          </cell>
        </row>
        <row r="182">
          <cell r="A182">
            <v>41912</v>
          </cell>
        </row>
        <row r="183">
          <cell r="A183">
            <v>41943</v>
          </cell>
        </row>
        <row r="184">
          <cell r="A184">
            <v>41973</v>
          </cell>
        </row>
        <row r="185">
          <cell r="A185">
            <v>42004</v>
          </cell>
        </row>
        <row r="186">
          <cell r="A186">
            <v>42035</v>
          </cell>
        </row>
        <row r="187">
          <cell r="A187">
            <v>42063</v>
          </cell>
        </row>
        <row r="188">
          <cell r="A188">
            <v>42094</v>
          </cell>
        </row>
        <row r="189">
          <cell r="A189">
            <v>42124</v>
          </cell>
        </row>
        <row r="190">
          <cell r="A190">
            <v>42155</v>
          </cell>
        </row>
        <row r="191">
          <cell r="A191">
            <v>42185</v>
          </cell>
        </row>
        <row r="192">
          <cell r="A192">
            <v>42216</v>
          </cell>
        </row>
        <row r="193">
          <cell r="A193">
            <v>42247</v>
          </cell>
        </row>
        <row r="194">
          <cell r="A194">
            <v>42277</v>
          </cell>
        </row>
        <row r="195">
          <cell r="A195">
            <v>42308</v>
          </cell>
        </row>
        <row r="196">
          <cell r="A196">
            <v>42338</v>
          </cell>
        </row>
        <row r="197">
          <cell r="A197">
            <v>42369</v>
          </cell>
        </row>
        <row r="198">
          <cell r="A198">
            <v>42400</v>
          </cell>
        </row>
        <row r="199">
          <cell r="A199">
            <v>42429</v>
          </cell>
        </row>
        <row r="200">
          <cell r="A200">
            <v>42460</v>
          </cell>
        </row>
        <row r="201">
          <cell r="A201">
            <v>42490</v>
          </cell>
        </row>
        <row r="202">
          <cell r="A202">
            <v>42521</v>
          </cell>
        </row>
        <row r="203">
          <cell r="A203">
            <v>42551</v>
          </cell>
        </row>
        <row r="204">
          <cell r="A204">
            <v>42582</v>
          </cell>
        </row>
        <row r="205">
          <cell r="A205">
            <v>42613</v>
          </cell>
        </row>
        <row r="206">
          <cell r="A206">
            <v>42643</v>
          </cell>
        </row>
        <row r="207">
          <cell r="A207">
            <v>42674</v>
          </cell>
        </row>
        <row r="208">
          <cell r="A208">
            <v>42704</v>
          </cell>
        </row>
        <row r="209">
          <cell r="A209">
            <v>42735</v>
          </cell>
        </row>
        <row r="210">
          <cell r="A210">
            <v>42766</v>
          </cell>
        </row>
        <row r="211">
          <cell r="A211">
            <v>42794</v>
          </cell>
        </row>
        <row r="212">
          <cell r="A212">
            <v>42825</v>
          </cell>
        </row>
        <row r="213">
          <cell r="A213">
            <v>42855</v>
          </cell>
        </row>
        <row r="214">
          <cell r="A214">
            <v>42886</v>
          </cell>
        </row>
        <row r="215">
          <cell r="A215">
            <v>42916</v>
          </cell>
        </row>
        <row r="216">
          <cell r="A216">
            <v>42947</v>
          </cell>
        </row>
        <row r="217">
          <cell r="A217">
            <v>42978</v>
          </cell>
        </row>
        <row r="218">
          <cell r="A218">
            <v>43008</v>
          </cell>
        </row>
        <row r="219">
          <cell r="A219">
            <v>43039</v>
          </cell>
        </row>
        <row r="220">
          <cell r="A220">
            <v>43069</v>
          </cell>
        </row>
        <row r="221">
          <cell r="A221">
            <v>43100</v>
          </cell>
        </row>
        <row r="222">
          <cell r="A222">
            <v>43131</v>
          </cell>
        </row>
        <row r="223">
          <cell r="A223">
            <v>43159</v>
          </cell>
        </row>
        <row r="224">
          <cell r="A224">
            <v>43190</v>
          </cell>
        </row>
        <row r="225">
          <cell r="A225">
            <v>43220</v>
          </cell>
        </row>
        <row r="226">
          <cell r="A226">
            <v>43251</v>
          </cell>
        </row>
        <row r="227">
          <cell r="A227">
            <v>43281</v>
          </cell>
        </row>
        <row r="228">
          <cell r="A228">
            <v>43312</v>
          </cell>
        </row>
        <row r="229">
          <cell r="A229">
            <v>43343</v>
          </cell>
        </row>
        <row r="230">
          <cell r="A230">
            <v>43373</v>
          </cell>
        </row>
        <row r="231">
          <cell r="A231">
            <v>43404</v>
          </cell>
        </row>
        <row r="232">
          <cell r="A232">
            <v>43434</v>
          </cell>
        </row>
        <row r="233">
          <cell r="A233">
            <v>43465</v>
          </cell>
        </row>
        <row r="234">
          <cell r="A234">
            <v>43496</v>
          </cell>
        </row>
        <row r="235">
          <cell r="A235">
            <v>43524</v>
          </cell>
        </row>
        <row r="236">
          <cell r="A236">
            <v>43555</v>
          </cell>
        </row>
        <row r="237">
          <cell r="A237">
            <v>43585</v>
          </cell>
        </row>
        <row r="238">
          <cell r="A238">
            <v>43616</v>
          </cell>
        </row>
        <row r="239">
          <cell r="A239">
            <v>43646</v>
          </cell>
        </row>
        <row r="240">
          <cell r="A240">
            <v>43677</v>
          </cell>
        </row>
        <row r="241">
          <cell r="A241">
            <v>43708</v>
          </cell>
        </row>
        <row r="242">
          <cell r="A242">
            <v>43738</v>
          </cell>
        </row>
        <row r="243">
          <cell r="A243">
            <v>43769</v>
          </cell>
        </row>
        <row r="244">
          <cell r="A244">
            <v>43799</v>
          </cell>
        </row>
        <row r="245">
          <cell r="A245">
            <v>43830</v>
          </cell>
        </row>
        <row r="246">
          <cell r="A246">
            <v>43861</v>
          </cell>
        </row>
        <row r="247">
          <cell r="A247">
            <v>43890</v>
          </cell>
        </row>
        <row r="248">
          <cell r="A248">
            <v>43921</v>
          </cell>
        </row>
        <row r="249">
          <cell r="A249">
            <v>43951</v>
          </cell>
        </row>
        <row r="250">
          <cell r="A250">
            <v>43982</v>
          </cell>
        </row>
        <row r="251">
          <cell r="A251">
            <v>44012</v>
          </cell>
        </row>
        <row r="252">
          <cell r="A252">
            <v>44043</v>
          </cell>
        </row>
        <row r="253">
          <cell r="A253">
            <v>44074</v>
          </cell>
        </row>
        <row r="254">
          <cell r="A254">
            <v>44104</v>
          </cell>
        </row>
        <row r="255">
          <cell r="A255">
            <v>44135</v>
          </cell>
        </row>
        <row r="256">
          <cell r="A256">
            <v>44165</v>
          </cell>
        </row>
        <row r="257">
          <cell r="A257">
            <v>44196</v>
          </cell>
        </row>
        <row r="258">
          <cell r="A258">
            <v>44227</v>
          </cell>
        </row>
        <row r="259">
          <cell r="A259">
            <v>44255</v>
          </cell>
        </row>
        <row r="260">
          <cell r="A260">
            <v>44286</v>
          </cell>
        </row>
        <row r="261">
          <cell r="A261">
            <v>44316</v>
          </cell>
        </row>
        <row r="262">
          <cell r="A262">
            <v>44347</v>
          </cell>
        </row>
        <row r="263">
          <cell r="A263">
            <v>44377</v>
          </cell>
        </row>
        <row r="264">
          <cell r="A264">
            <v>44408</v>
          </cell>
        </row>
        <row r="265">
          <cell r="A265">
            <v>44439</v>
          </cell>
        </row>
        <row r="266">
          <cell r="A266">
            <v>44469</v>
          </cell>
        </row>
        <row r="267">
          <cell r="A267">
            <v>44500</v>
          </cell>
        </row>
        <row r="268">
          <cell r="A268">
            <v>44530</v>
          </cell>
        </row>
        <row r="269">
          <cell r="A269">
            <v>44561</v>
          </cell>
        </row>
        <row r="270">
          <cell r="A270">
            <v>44592</v>
          </cell>
        </row>
        <row r="271">
          <cell r="A271">
            <v>44620</v>
          </cell>
        </row>
        <row r="272">
          <cell r="A272">
            <v>44651</v>
          </cell>
        </row>
        <row r="273">
          <cell r="A273">
            <v>44681</v>
          </cell>
        </row>
        <row r="274">
          <cell r="A274">
            <v>44712</v>
          </cell>
        </row>
        <row r="275">
          <cell r="A275">
            <v>44742</v>
          </cell>
        </row>
        <row r="276">
          <cell r="A276">
            <v>44773</v>
          </cell>
        </row>
        <row r="277">
          <cell r="A277">
            <v>44804</v>
          </cell>
        </row>
        <row r="278">
          <cell r="A278">
            <v>44834</v>
          </cell>
        </row>
        <row r="279">
          <cell r="A279">
            <v>44865</v>
          </cell>
        </row>
        <row r="280">
          <cell r="A280">
            <v>44895</v>
          </cell>
        </row>
        <row r="281">
          <cell r="A281">
            <v>44926</v>
          </cell>
        </row>
        <row r="282">
          <cell r="A282">
            <v>44957</v>
          </cell>
        </row>
        <row r="283">
          <cell r="A283">
            <v>44985</v>
          </cell>
        </row>
        <row r="284">
          <cell r="A284">
            <v>45016</v>
          </cell>
        </row>
        <row r="285">
          <cell r="A285">
            <v>45046</v>
          </cell>
        </row>
        <row r="286">
          <cell r="A286">
            <v>45077</v>
          </cell>
        </row>
        <row r="287">
          <cell r="A287">
            <v>45107</v>
          </cell>
        </row>
        <row r="288">
          <cell r="A288">
            <v>45138</v>
          </cell>
        </row>
        <row r="289">
          <cell r="A289">
            <v>45169</v>
          </cell>
        </row>
        <row r="290">
          <cell r="A290">
            <v>45199</v>
          </cell>
        </row>
        <row r="291">
          <cell r="A291">
            <v>45230</v>
          </cell>
        </row>
        <row r="292">
          <cell r="A292">
            <v>45260</v>
          </cell>
        </row>
        <row r="293">
          <cell r="A293">
            <v>45291</v>
          </cell>
        </row>
        <row r="294">
          <cell r="A294">
            <v>45322</v>
          </cell>
        </row>
        <row r="295">
          <cell r="A295">
            <v>45350</v>
          </cell>
        </row>
        <row r="296">
          <cell r="A296">
            <v>45382</v>
          </cell>
        </row>
        <row r="297">
          <cell r="A297">
            <v>45412</v>
          </cell>
        </row>
        <row r="298">
          <cell r="A298">
            <v>45443</v>
          </cell>
        </row>
        <row r="299">
          <cell r="A299">
            <v>45473</v>
          </cell>
        </row>
      </sheetData>
      <sheetData sheetId="11">
        <row r="20">
          <cell r="A20" t="str">
            <v>Fecha corte</v>
          </cell>
        </row>
        <row r="21">
          <cell r="A21">
            <v>37072</v>
          </cell>
        </row>
        <row r="22">
          <cell r="A22">
            <v>37103</v>
          </cell>
        </row>
        <row r="23">
          <cell r="A23">
            <v>37134</v>
          </cell>
        </row>
        <row r="24">
          <cell r="A24">
            <v>37164</v>
          </cell>
        </row>
        <row r="25">
          <cell r="A25">
            <v>37195</v>
          </cell>
        </row>
        <row r="26">
          <cell r="A26">
            <v>37225</v>
          </cell>
        </row>
        <row r="27">
          <cell r="A27">
            <v>37256</v>
          </cell>
        </row>
        <row r="28">
          <cell r="A28">
            <v>37287</v>
          </cell>
        </row>
        <row r="29">
          <cell r="A29">
            <v>37315</v>
          </cell>
        </row>
        <row r="30">
          <cell r="A30">
            <v>37346</v>
          </cell>
        </row>
        <row r="31">
          <cell r="A31">
            <v>37376</v>
          </cell>
        </row>
        <row r="32">
          <cell r="A32">
            <v>37407</v>
          </cell>
        </row>
        <row r="33">
          <cell r="A33">
            <v>37437</v>
          </cell>
        </row>
        <row r="34">
          <cell r="A34">
            <v>37468</v>
          </cell>
        </row>
        <row r="35">
          <cell r="A35">
            <v>37499</v>
          </cell>
        </row>
        <row r="36">
          <cell r="A36">
            <v>37529</v>
          </cell>
        </row>
        <row r="37">
          <cell r="A37">
            <v>37560</v>
          </cell>
        </row>
        <row r="38">
          <cell r="A38">
            <v>37590</v>
          </cell>
        </row>
        <row r="39">
          <cell r="A39">
            <v>37621</v>
          </cell>
        </row>
        <row r="40">
          <cell r="A40">
            <v>37652</v>
          </cell>
        </row>
        <row r="41">
          <cell r="A41">
            <v>37680</v>
          </cell>
        </row>
        <row r="42">
          <cell r="A42">
            <v>37711</v>
          </cell>
        </row>
        <row r="43">
          <cell r="A43">
            <v>37741</v>
          </cell>
        </row>
        <row r="44">
          <cell r="A44">
            <v>37772</v>
          </cell>
        </row>
        <row r="45">
          <cell r="A45">
            <v>37802</v>
          </cell>
        </row>
        <row r="46">
          <cell r="A46">
            <v>37833</v>
          </cell>
        </row>
        <row r="47">
          <cell r="A47">
            <v>37864</v>
          </cell>
        </row>
        <row r="48">
          <cell r="A48">
            <v>37894</v>
          </cell>
        </row>
        <row r="49">
          <cell r="A49">
            <v>37925</v>
          </cell>
        </row>
        <row r="50">
          <cell r="A50">
            <v>37955</v>
          </cell>
        </row>
        <row r="51">
          <cell r="A51">
            <v>37986</v>
          </cell>
        </row>
        <row r="52">
          <cell r="A52">
            <v>38017</v>
          </cell>
          <cell r="B52">
            <v>0.41612496523077713</v>
          </cell>
          <cell r="C52">
            <v>6.5044865803437685E-2</v>
          </cell>
          <cell r="D52">
            <v>1.6011920613972653E-2</v>
          </cell>
          <cell r="E52">
            <v>0.15067826957257535</v>
          </cell>
          <cell r="F52">
            <v>0.35213997877923714</v>
          </cell>
        </row>
        <row r="53">
          <cell r="A53">
            <v>38046</v>
          </cell>
        </row>
        <row r="54">
          <cell r="A54">
            <v>38077</v>
          </cell>
        </row>
        <row r="55">
          <cell r="A55">
            <v>38107</v>
          </cell>
        </row>
        <row r="56">
          <cell r="A56">
            <v>38138</v>
          </cell>
        </row>
        <row r="57">
          <cell r="A57">
            <v>38168</v>
          </cell>
        </row>
        <row r="58">
          <cell r="A58">
            <v>38199</v>
          </cell>
        </row>
        <row r="59">
          <cell r="A59">
            <v>38230</v>
          </cell>
        </row>
        <row r="60">
          <cell r="A60">
            <v>38260</v>
          </cell>
        </row>
        <row r="61">
          <cell r="A61">
            <v>38291</v>
          </cell>
        </row>
        <row r="62">
          <cell r="A62">
            <v>38321</v>
          </cell>
        </row>
        <row r="63">
          <cell r="A63">
            <v>38352</v>
          </cell>
        </row>
        <row r="64">
          <cell r="A64">
            <v>38383</v>
          </cell>
        </row>
        <row r="65">
          <cell r="A65">
            <v>38411</v>
          </cell>
        </row>
        <row r="66">
          <cell r="A66">
            <v>38442</v>
          </cell>
        </row>
        <row r="67">
          <cell r="A67">
            <v>38472</v>
          </cell>
        </row>
        <row r="68">
          <cell r="A68">
            <v>38503</v>
          </cell>
        </row>
        <row r="69">
          <cell r="A69">
            <v>38533</v>
          </cell>
        </row>
        <row r="70">
          <cell r="A70">
            <v>38564</v>
          </cell>
        </row>
        <row r="71">
          <cell r="A71">
            <v>38595</v>
          </cell>
        </row>
        <row r="72">
          <cell r="A72">
            <v>38625</v>
          </cell>
        </row>
        <row r="73">
          <cell r="A73">
            <v>38656</v>
          </cell>
        </row>
        <row r="74">
          <cell r="A74">
            <v>38686</v>
          </cell>
        </row>
        <row r="75">
          <cell r="A75">
            <v>38717</v>
          </cell>
        </row>
        <row r="76">
          <cell r="A76">
            <v>38748</v>
          </cell>
        </row>
        <row r="77">
          <cell r="A77">
            <v>38776</v>
          </cell>
        </row>
        <row r="78">
          <cell r="A78">
            <v>38807</v>
          </cell>
        </row>
        <row r="79">
          <cell r="A79">
            <v>38837</v>
          </cell>
        </row>
        <row r="80">
          <cell r="A80">
            <v>38868</v>
          </cell>
        </row>
        <row r="81">
          <cell r="A81">
            <v>38898</v>
          </cell>
        </row>
        <row r="82">
          <cell r="A82">
            <v>38929</v>
          </cell>
        </row>
        <row r="83">
          <cell r="A83">
            <v>38960</v>
          </cell>
        </row>
        <row r="84">
          <cell r="A84">
            <v>38990</v>
          </cell>
        </row>
        <row r="85">
          <cell r="A85">
            <v>39021</v>
          </cell>
        </row>
        <row r="86">
          <cell r="A86">
            <v>39051</v>
          </cell>
        </row>
        <row r="87">
          <cell r="A87">
            <v>39082</v>
          </cell>
        </row>
        <row r="88">
          <cell r="A88">
            <v>39113</v>
          </cell>
        </row>
        <row r="89">
          <cell r="A89">
            <v>39141</v>
          </cell>
        </row>
        <row r="90">
          <cell r="A90">
            <v>39172</v>
          </cell>
        </row>
        <row r="91">
          <cell r="A91">
            <v>39202</v>
          </cell>
        </row>
        <row r="92">
          <cell r="A92">
            <v>39203</v>
          </cell>
        </row>
        <row r="93">
          <cell r="A93">
            <v>39234</v>
          </cell>
        </row>
        <row r="94">
          <cell r="A94">
            <v>39264</v>
          </cell>
        </row>
        <row r="95">
          <cell r="A95">
            <v>39325</v>
          </cell>
        </row>
        <row r="96">
          <cell r="A96">
            <v>39355</v>
          </cell>
        </row>
        <row r="97">
          <cell r="A97">
            <v>39386</v>
          </cell>
        </row>
        <row r="98">
          <cell r="A98">
            <v>39416</v>
          </cell>
        </row>
        <row r="99">
          <cell r="A99">
            <v>39447</v>
          </cell>
        </row>
        <row r="100">
          <cell r="A100">
            <v>39478</v>
          </cell>
        </row>
        <row r="101">
          <cell r="A101">
            <v>39507</v>
          </cell>
        </row>
        <row r="102">
          <cell r="A102">
            <v>39538</v>
          </cell>
        </row>
        <row r="103">
          <cell r="A103">
            <v>39568</v>
          </cell>
        </row>
        <row r="104">
          <cell r="A104">
            <v>39599</v>
          </cell>
        </row>
        <row r="105">
          <cell r="A105">
            <v>39629</v>
          </cell>
        </row>
        <row r="106">
          <cell r="A106">
            <v>39660</v>
          </cell>
        </row>
        <row r="107">
          <cell r="A107">
            <v>39691</v>
          </cell>
        </row>
        <row r="108">
          <cell r="A108">
            <v>39721</v>
          </cell>
        </row>
        <row r="109">
          <cell r="A109">
            <v>39752</v>
          </cell>
        </row>
        <row r="110">
          <cell r="A110">
            <v>39782</v>
          </cell>
        </row>
        <row r="111">
          <cell r="A111">
            <v>39813</v>
          </cell>
        </row>
        <row r="112">
          <cell r="A112">
            <v>39844</v>
          </cell>
        </row>
        <row r="113">
          <cell r="A113">
            <v>39872</v>
          </cell>
        </row>
        <row r="114">
          <cell r="A114">
            <v>39903</v>
          </cell>
        </row>
        <row r="115">
          <cell r="A115">
            <v>39933</v>
          </cell>
        </row>
        <row r="116">
          <cell r="A116">
            <v>39964</v>
          </cell>
        </row>
        <row r="117">
          <cell r="A117">
            <v>39994</v>
          </cell>
        </row>
        <row r="118">
          <cell r="A118">
            <v>40025</v>
          </cell>
        </row>
        <row r="119">
          <cell r="A119">
            <v>40056</v>
          </cell>
        </row>
        <row r="120">
          <cell r="A120">
            <v>40086</v>
          </cell>
        </row>
        <row r="121">
          <cell r="A121">
            <v>40117</v>
          </cell>
        </row>
        <row r="122">
          <cell r="A122">
            <v>40147</v>
          </cell>
        </row>
        <row r="123">
          <cell r="A123">
            <v>40178</v>
          </cell>
        </row>
        <row r="124">
          <cell r="A124">
            <v>40209</v>
          </cell>
        </row>
        <row r="125">
          <cell r="A125">
            <v>40237</v>
          </cell>
        </row>
        <row r="126">
          <cell r="A126">
            <v>40268</v>
          </cell>
        </row>
        <row r="127">
          <cell r="A127">
            <v>40298</v>
          </cell>
        </row>
        <row r="128">
          <cell r="A128">
            <v>40329</v>
          </cell>
        </row>
        <row r="129">
          <cell r="A129">
            <v>40359</v>
          </cell>
        </row>
        <row r="130">
          <cell r="A130">
            <v>40390</v>
          </cell>
        </row>
        <row r="131">
          <cell r="A131">
            <v>40421</v>
          </cell>
        </row>
        <row r="132">
          <cell r="A132">
            <v>40451</v>
          </cell>
        </row>
        <row r="133">
          <cell r="A133">
            <v>40482</v>
          </cell>
        </row>
        <row r="134">
          <cell r="A134">
            <v>40512</v>
          </cell>
        </row>
        <row r="135">
          <cell r="A135">
            <v>40543</v>
          </cell>
        </row>
        <row r="136">
          <cell r="A136">
            <v>40574</v>
          </cell>
        </row>
        <row r="137">
          <cell r="A137">
            <v>40602</v>
          </cell>
        </row>
        <row r="138">
          <cell r="A138">
            <v>40633</v>
          </cell>
        </row>
        <row r="139">
          <cell r="A139">
            <v>40663</v>
          </cell>
        </row>
        <row r="140">
          <cell r="A140">
            <v>40694</v>
          </cell>
        </row>
        <row r="141">
          <cell r="A141">
            <v>40724</v>
          </cell>
        </row>
        <row r="142">
          <cell r="A142">
            <v>40755</v>
          </cell>
        </row>
        <row r="143">
          <cell r="A143">
            <v>40786</v>
          </cell>
        </row>
        <row r="144">
          <cell r="A144">
            <v>40816</v>
          </cell>
        </row>
        <row r="145">
          <cell r="A145">
            <v>40847</v>
          </cell>
        </row>
        <row r="146">
          <cell r="A146">
            <v>40877</v>
          </cell>
        </row>
        <row r="147">
          <cell r="A147">
            <v>40878</v>
          </cell>
        </row>
        <row r="148">
          <cell r="A148">
            <v>40909</v>
          </cell>
        </row>
        <row r="149">
          <cell r="A149">
            <v>40940</v>
          </cell>
        </row>
        <row r="150">
          <cell r="A150">
            <v>40969</v>
          </cell>
        </row>
        <row r="151">
          <cell r="A151">
            <v>41000</v>
          </cell>
        </row>
        <row r="152">
          <cell r="A152">
            <v>41030</v>
          </cell>
        </row>
        <row r="153">
          <cell r="A153">
            <v>41061</v>
          </cell>
        </row>
        <row r="154">
          <cell r="A154">
            <v>41091</v>
          </cell>
        </row>
        <row r="155">
          <cell r="A155">
            <v>41122</v>
          </cell>
        </row>
        <row r="156">
          <cell r="A156">
            <v>41182</v>
          </cell>
        </row>
        <row r="157">
          <cell r="A157">
            <v>41213</v>
          </cell>
        </row>
        <row r="158">
          <cell r="A158">
            <v>41243</v>
          </cell>
        </row>
        <row r="159">
          <cell r="A159">
            <v>41274</v>
          </cell>
        </row>
        <row r="160">
          <cell r="A160">
            <v>41305</v>
          </cell>
        </row>
        <row r="161">
          <cell r="A161">
            <v>41333</v>
          </cell>
        </row>
        <row r="162">
          <cell r="A162">
            <v>41334</v>
          </cell>
        </row>
        <row r="163">
          <cell r="A163">
            <v>41394</v>
          </cell>
        </row>
        <row r="164">
          <cell r="A164">
            <v>41425</v>
          </cell>
        </row>
        <row r="165">
          <cell r="A165">
            <v>41455</v>
          </cell>
        </row>
        <row r="166">
          <cell r="A166">
            <v>41486</v>
          </cell>
        </row>
        <row r="167">
          <cell r="A167">
            <v>41517</v>
          </cell>
        </row>
        <row r="168">
          <cell r="A168">
            <v>41547</v>
          </cell>
        </row>
        <row r="169">
          <cell r="A169">
            <v>41578</v>
          </cell>
        </row>
        <row r="170">
          <cell r="A170">
            <v>41608</v>
          </cell>
        </row>
        <row r="171">
          <cell r="A171">
            <v>41639</v>
          </cell>
        </row>
        <row r="172">
          <cell r="A172">
            <v>41670</v>
          </cell>
        </row>
        <row r="173">
          <cell r="A173">
            <v>41698</v>
          </cell>
        </row>
        <row r="174">
          <cell r="A174">
            <v>41729</v>
          </cell>
        </row>
        <row r="175">
          <cell r="A175">
            <v>41759</v>
          </cell>
        </row>
        <row r="176">
          <cell r="A176">
            <v>41790</v>
          </cell>
        </row>
        <row r="177">
          <cell r="A177">
            <v>41820</v>
          </cell>
        </row>
        <row r="178">
          <cell r="A178">
            <v>41851</v>
          </cell>
        </row>
        <row r="179">
          <cell r="A179">
            <v>41882</v>
          </cell>
        </row>
        <row r="180">
          <cell r="A180">
            <v>41912</v>
          </cell>
        </row>
        <row r="181">
          <cell r="A181">
            <v>41943</v>
          </cell>
        </row>
        <row r="182">
          <cell r="A182">
            <v>41973</v>
          </cell>
        </row>
        <row r="183">
          <cell r="A183">
            <v>42004</v>
          </cell>
        </row>
        <row r="184">
          <cell r="A184">
            <v>42035</v>
          </cell>
        </row>
        <row r="185">
          <cell r="A185">
            <v>42063</v>
          </cell>
        </row>
        <row r="186">
          <cell r="A186">
            <v>42094</v>
          </cell>
        </row>
        <row r="187">
          <cell r="A187">
            <v>42124</v>
          </cell>
        </row>
        <row r="188">
          <cell r="A188">
            <v>42155</v>
          </cell>
        </row>
        <row r="189">
          <cell r="A189">
            <v>42185</v>
          </cell>
        </row>
        <row r="190">
          <cell r="A190">
            <v>42216</v>
          </cell>
        </row>
        <row r="191">
          <cell r="A191">
            <v>42247</v>
          </cell>
        </row>
        <row r="192">
          <cell r="A192">
            <v>42277</v>
          </cell>
        </row>
        <row r="193">
          <cell r="A193">
            <v>42308</v>
          </cell>
        </row>
        <row r="194">
          <cell r="A194">
            <v>42338</v>
          </cell>
        </row>
        <row r="195">
          <cell r="A195">
            <v>42369</v>
          </cell>
        </row>
        <row r="196">
          <cell r="A196">
            <v>42400</v>
          </cell>
        </row>
        <row r="197">
          <cell r="A197">
            <v>42429</v>
          </cell>
        </row>
        <row r="198">
          <cell r="A198">
            <v>42460</v>
          </cell>
        </row>
        <row r="199">
          <cell r="A199">
            <v>42490</v>
          </cell>
        </row>
        <row r="200">
          <cell r="A200">
            <v>42521</v>
          </cell>
        </row>
        <row r="201">
          <cell r="A201">
            <v>42551</v>
          </cell>
        </row>
        <row r="202">
          <cell r="A202">
            <v>42582</v>
          </cell>
        </row>
        <row r="203">
          <cell r="A203">
            <v>42613</v>
          </cell>
        </row>
        <row r="204">
          <cell r="A204">
            <v>42643</v>
          </cell>
        </row>
        <row r="205">
          <cell r="A205">
            <v>42674</v>
          </cell>
        </row>
        <row r="206">
          <cell r="A206">
            <v>42704</v>
          </cell>
        </row>
        <row r="207">
          <cell r="A207">
            <v>42735</v>
          </cell>
        </row>
        <row r="208">
          <cell r="A208">
            <v>42766</v>
          </cell>
        </row>
        <row r="209">
          <cell r="A209">
            <v>42794</v>
          </cell>
        </row>
        <row r="210">
          <cell r="A210">
            <v>42825</v>
          </cell>
        </row>
        <row r="211">
          <cell r="A211">
            <v>42855</v>
          </cell>
        </row>
        <row r="212">
          <cell r="A212">
            <v>42886</v>
          </cell>
        </row>
        <row r="213">
          <cell r="A213">
            <v>42916</v>
          </cell>
        </row>
        <row r="214">
          <cell r="A214">
            <v>42947</v>
          </cell>
        </row>
        <row r="215">
          <cell r="A215">
            <v>42978</v>
          </cell>
        </row>
        <row r="216">
          <cell r="A216">
            <v>43008</v>
          </cell>
        </row>
        <row r="217">
          <cell r="A217">
            <v>43039</v>
          </cell>
        </row>
        <row r="218">
          <cell r="A218">
            <v>43069</v>
          </cell>
        </row>
        <row r="219">
          <cell r="A219">
            <v>43100</v>
          </cell>
        </row>
        <row r="220">
          <cell r="A220">
            <v>43131</v>
          </cell>
        </row>
        <row r="221">
          <cell r="A221">
            <v>43159</v>
          </cell>
        </row>
        <row r="222">
          <cell r="A222">
            <v>43190</v>
          </cell>
        </row>
        <row r="223">
          <cell r="A223">
            <v>43220</v>
          </cell>
        </row>
        <row r="224">
          <cell r="A224">
            <v>43251</v>
          </cell>
        </row>
        <row r="225">
          <cell r="A225">
            <v>43281</v>
          </cell>
        </row>
        <row r="226">
          <cell r="A226">
            <v>43312</v>
          </cell>
        </row>
        <row r="227">
          <cell r="A227">
            <v>43343</v>
          </cell>
        </row>
        <row r="228">
          <cell r="A228">
            <v>43373</v>
          </cell>
        </row>
        <row r="229">
          <cell r="A229">
            <v>43404</v>
          </cell>
        </row>
        <row r="230">
          <cell r="A230">
            <v>43434</v>
          </cell>
        </row>
        <row r="231">
          <cell r="A231">
            <v>43465</v>
          </cell>
        </row>
        <row r="232">
          <cell r="A232">
            <v>43496</v>
          </cell>
        </row>
        <row r="233">
          <cell r="A233">
            <v>43524</v>
          </cell>
        </row>
        <row r="234">
          <cell r="A234">
            <v>43555</v>
          </cell>
        </row>
        <row r="235">
          <cell r="A235">
            <v>43585</v>
          </cell>
        </row>
        <row r="236">
          <cell r="A236">
            <v>43616</v>
          </cell>
        </row>
        <row r="237">
          <cell r="A237">
            <v>43646</v>
          </cell>
        </row>
        <row r="238">
          <cell r="A238">
            <v>43677</v>
          </cell>
        </row>
        <row r="239">
          <cell r="A239">
            <v>43708</v>
          </cell>
        </row>
        <row r="240">
          <cell r="A240">
            <v>43738</v>
          </cell>
        </row>
        <row r="241">
          <cell r="A241">
            <v>43769</v>
          </cell>
        </row>
        <row r="242">
          <cell r="A242">
            <v>43799</v>
          </cell>
        </row>
        <row r="243">
          <cell r="A243">
            <v>43830</v>
          </cell>
        </row>
        <row r="244">
          <cell r="A244">
            <v>43861</v>
          </cell>
        </row>
        <row r="245">
          <cell r="A245">
            <v>43890</v>
          </cell>
        </row>
        <row r="246">
          <cell r="A246">
            <v>43921</v>
          </cell>
        </row>
        <row r="247">
          <cell r="A247">
            <v>43951</v>
          </cell>
        </row>
        <row r="248">
          <cell r="A248">
            <v>43982</v>
          </cell>
        </row>
        <row r="249">
          <cell r="A249">
            <v>44012</v>
          </cell>
        </row>
        <row r="250">
          <cell r="A250">
            <v>44043</v>
          </cell>
        </row>
        <row r="251">
          <cell r="A251">
            <v>44074</v>
          </cell>
        </row>
        <row r="252">
          <cell r="A252">
            <v>44104</v>
          </cell>
        </row>
        <row r="253">
          <cell r="A253">
            <v>44135</v>
          </cell>
        </row>
        <row r="254">
          <cell r="A254">
            <v>44165</v>
          </cell>
        </row>
        <row r="255">
          <cell r="A255">
            <v>44196</v>
          </cell>
        </row>
        <row r="256">
          <cell r="A256">
            <v>44227</v>
          </cell>
        </row>
        <row r="257">
          <cell r="A257">
            <v>44255</v>
          </cell>
        </row>
        <row r="258">
          <cell r="A258">
            <v>44286</v>
          </cell>
        </row>
        <row r="259">
          <cell r="A259">
            <v>44316</v>
          </cell>
        </row>
        <row r="260">
          <cell r="A260">
            <v>44347</v>
          </cell>
        </row>
        <row r="261">
          <cell r="A261">
            <v>44377</v>
          </cell>
        </row>
        <row r="262">
          <cell r="A262">
            <v>44408</v>
          </cell>
        </row>
        <row r="263">
          <cell r="A263">
            <v>44439</v>
          </cell>
        </row>
        <row r="264">
          <cell r="A264">
            <v>44469</v>
          </cell>
        </row>
        <row r="265">
          <cell r="A265">
            <v>44500</v>
          </cell>
        </row>
        <row r="266">
          <cell r="A266">
            <v>44530</v>
          </cell>
        </row>
        <row r="267">
          <cell r="A267">
            <v>44561</v>
          </cell>
        </row>
        <row r="268">
          <cell r="A268">
            <v>44592</v>
          </cell>
        </row>
        <row r="269">
          <cell r="A269">
            <v>44620</v>
          </cell>
        </row>
        <row r="270">
          <cell r="A270">
            <v>44651</v>
          </cell>
        </row>
        <row r="271">
          <cell r="A271">
            <v>44681</v>
          </cell>
        </row>
        <row r="272">
          <cell r="A272">
            <v>44712</v>
          </cell>
        </row>
        <row r="273">
          <cell r="A273">
            <v>44742</v>
          </cell>
        </row>
        <row r="274">
          <cell r="A274">
            <v>44773</v>
          </cell>
        </row>
        <row r="275">
          <cell r="A275">
            <v>44804</v>
          </cell>
        </row>
        <row r="276">
          <cell r="A276">
            <v>44834</v>
          </cell>
        </row>
        <row r="277">
          <cell r="A277">
            <v>44865</v>
          </cell>
        </row>
        <row r="278">
          <cell r="A278">
            <v>44895</v>
          </cell>
        </row>
        <row r="279">
          <cell r="A279">
            <v>44926</v>
          </cell>
        </row>
        <row r="280">
          <cell r="A280">
            <v>44957</v>
          </cell>
        </row>
        <row r="281">
          <cell r="A281">
            <v>44985</v>
          </cell>
        </row>
        <row r="282">
          <cell r="A282">
            <v>45016</v>
          </cell>
        </row>
        <row r="283">
          <cell r="A283">
            <v>45046</v>
          </cell>
        </row>
        <row r="284">
          <cell r="A284">
            <v>45077</v>
          </cell>
        </row>
        <row r="285">
          <cell r="A285">
            <v>45107</v>
          </cell>
        </row>
        <row r="286">
          <cell r="A286">
            <v>45138</v>
          </cell>
        </row>
        <row r="287">
          <cell r="A287">
            <v>45169</v>
          </cell>
        </row>
        <row r="288">
          <cell r="A288">
            <v>45199</v>
          </cell>
        </row>
        <row r="289">
          <cell r="A289">
            <v>45230</v>
          </cell>
        </row>
        <row r="290">
          <cell r="A290">
            <v>45260</v>
          </cell>
        </row>
        <row r="291">
          <cell r="A291">
            <v>45291</v>
          </cell>
        </row>
        <row r="292">
          <cell r="A292">
            <v>45322</v>
          </cell>
        </row>
        <row r="293">
          <cell r="A293">
            <v>45350</v>
          </cell>
        </row>
        <row r="294">
          <cell r="A294">
            <v>45382</v>
          </cell>
        </row>
        <row r="295">
          <cell r="A295">
            <v>45412</v>
          </cell>
        </row>
        <row r="296">
          <cell r="A296">
            <v>45443</v>
          </cell>
        </row>
        <row r="297">
          <cell r="A297">
            <v>45473</v>
          </cell>
        </row>
      </sheetData>
      <sheetData sheetId="12" refreshError="1"/>
      <sheetData sheetId="13" refreshError="1"/>
      <sheetData sheetId="14" refreshError="1"/>
      <sheetData sheetId="15">
        <row r="22">
          <cell r="A22" t="str">
            <v>Fecha corte</v>
          </cell>
        </row>
        <row r="23">
          <cell r="A23">
            <v>37072</v>
          </cell>
        </row>
        <row r="24">
          <cell r="A24">
            <v>37103</v>
          </cell>
        </row>
        <row r="25">
          <cell r="A25">
            <v>37134</v>
          </cell>
        </row>
        <row r="26">
          <cell r="A26">
            <v>37164</v>
          </cell>
        </row>
        <row r="27">
          <cell r="A27">
            <v>37195</v>
          </cell>
        </row>
        <row r="28">
          <cell r="A28">
            <v>37225</v>
          </cell>
        </row>
        <row r="29">
          <cell r="A29">
            <v>37256</v>
          </cell>
        </row>
        <row r="30">
          <cell r="A30">
            <v>37287</v>
          </cell>
        </row>
        <row r="31">
          <cell r="A31">
            <v>37315</v>
          </cell>
        </row>
        <row r="32">
          <cell r="A32">
            <v>37346</v>
          </cell>
        </row>
        <row r="33">
          <cell r="A33">
            <v>37376</v>
          </cell>
        </row>
        <row r="34">
          <cell r="A34">
            <v>37407</v>
          </cell>
        </row>
        <row r="35">
          <cell r="A35">
            <v>37437</v>
          </cell>
        </row>
        <row r="36">
          <cell r="A36">
            <v>37468</v>
          </cell>
        </row>
        <row r="37">
          <cell r="A37">
            <v>37499</v>
          </cell>
        </row>
        <row r="38">
          <cell r="A38">
            <v>37529</v>
          </cell>
        </row>
        <row r="39">
          <cell r="A39">
            <v>37560</v>
          </cell>
        </row>
        <row r="40">
          <cell r="A40">
            <v>37590</v>
          </cell>
        </row>
        <row r="41">
          <cell r="A41">
            <v>37621</v>
          </cell>
        </row>
        <row r="42">
          <cell r="A42">
            <v>37652</v>
          </cell>
        </row>
        <row r="43">
          <cell r="A43">
            <v>37680</v>
          </cell>
        </row>
        <row r="44">
          <cell r="A44">
            <v>37711</v>
          </cell>
        </row>
        <row r="45">
          <cell r="A45">
            <v>37741</v>
          </cell>
        </row>
        <row r="46">
          <cell r="A46">
            <v>37772</v>
          </cell>
        </row>
        <row r="47">
          <cell r="A47">
            <v>37802</v>
          </cell>
        </row>
        <row r="48">
          <cell r="A48">
            <v>37833</v>
          </cell>
        </row>
        <row r="49">
          <cell r="A49">
            <v>37864</v>
          </cell>
        </row>
        <row r="50">
          <cell r="A50">
            <v>37894</v>
          </cell>
        </row>
        <row r="51">
          <cell r="A51">
            <v>37925</v>
          </cell>
        </row>
        <row r="52">
          <cell r="A52">
            <v>37955</v>
          </cell>
        </row>
        <row r="53">
          <cell r="A53">
            <v>37986</v>
          </cell>
        </row>
        <row r="54">
          <cell r="A54">
            <v>38017</v>
          </cell>
          <cell r="B54">
            <v>2.3964966506883121</v>
          </cell>
          <cell r="C54">
            <v>4.2933745961454717</v>
          </cell>
          <cell r="D54">
            <v>3.3090233632796568</v>
          </cell>
          <cell r="E54">
            <v>3.9185657200269448</v>
          </cell>
          <cell r="F54">
            <v>7.6205677382381376</v>
          </cell>
          <cell r="G54">
            <v>5.6994793205963381</v>
          </cell>
          <cell r="H54">
            <v>0.122009943857583</v>
          </cell>
          <cell r="I54">
            <v>8.9439296333147691E-2</v>
          </cell>
        </row>
        <row r="55">
          <cell r="A55">
            <v>38046</v>
          </cell>
        </row>
        <row r="56">
          <cell r="A56">
            <v>38077</v>
          </cell>
        </row>
        <row r="57">
          <cell r="A57">
            <v>38107</v>
          </cell>
        </row>
        <row r="58">
          <cell r="A58">
            <v>38138</v>
          </cell>
        </row>
        <row r="59">
          <cell r="A59">
            <v>38168</v>
          </cell>
        </row>
        <row r="60">
          <cell r="A60">
            <v>38199</v>
          </cell>
        </row>
        <row r="61">
          <cell r="A61">
            <v>38230</v>
          </cell>
        </row>
        <row r="62">
          <cell r="A62">
            <v>38260</v>
          </cell>
        </row>
        <row r="63">
          <cell r="A63">
            <v>38291</v>
          </cell>
        </row>
        <row r="64">
          <cell r="A64">
            <v>38321</v>
          </cell>
        </row>
        <row r="65">
          <cell r="A65">
            <v>38352</v>
          </cell>
        </row>
        <row r="66">
          <cell r="A66">
            <v>38383</v>
          </cell>
        </row>
        <row r="67">
          <cell r="A67">
            <v>38411</v>
          </cell>
        </row>
        <row r="68">
          <cell r="A68">
            <v>38442</v>
          </cell>
        </row>
        <row r="69">
          <cell r="A69">
            <v>38472</v>
          </cell>
        </row>
        <row r="70">
          <cell r="A70">
            <v>38503</v>
          </cell>
        </row>
        <row r="71">
          <cell r="A71">
            <v>38533</v>
          </cell>
        </row>
        <row r="72">
          <cell r="A72">
            <v>38564</v>
          </cell>
        </row>
        <row r="73">
          <cell r="A73">
            <v>38595</v>
          </cell>
        </row>
        <row r="74">
          <cell r="A74">
            <v>38625</v>
          </cell>
        </row>
        <row r="75">
          <cell r="A75">
            <v>38656</v>
          </cell>
        </row>
        <row r="76">
          <cell r="A76">
            <v>38686</v>
          </cell>
        </row>
        <row r="77">
          <cell r="A77">
            <v>38717</v>
          </cell>
        </row>
        <row r="78">
          <cell r="A78">
            <v>38748</v>
          </cell>
        </row>
        <row r="79">
          <cell r="A79">
            <v>38776</v>
          </cell>
        </row>
        <row r="80">
          <cell r="A80">
            <v>38807</v>
          </cell>
        </row>
        <row r="81">
          <cell r="A81">
            <v>38837</v>
          </cell>
        </row>
        <row r="82">
          <cell r="A82">
            <v>38868</v>
          </cell>
        </row>
        <row r="83">
          <cell r="A83">
            <v>38898</v>
          </cell>
        </row>
        <row r="84">
          <cell r="A84">
            <v>38929</v>
          </cell>
        </row>
        <row r="85">
          <cell r="A85">
            <v>38960</v>
          </cell>
        </row>
        <row r="86">
          <cell r="A86">
            <v>38990</v>
          </cell>
        </row>
        <row r="87">
          <cell r="A87">
            <v>39021</v>
          </cell>
        </row>
        <row r="88">
          <cell r="A88">
            <v>39051</v>
          </cell>
        </row>
        <row r="89">
          <cell r="A89">
            <v>39082</v>
          </cell>
        </row>
        <row r="90">
          <cell r="A90">
            <v>39113</v>
          </cell>
        </row>
        <row r="91">
          <cell r="A91">
            <v>39141</v>
          </cell>
        </row>
        <row r="92">
          <cell r="A92">
            <v>39172</v>
          </cell>
        </row>
        <row r="93">
          <cell r="A93">
            <v>39202</v>
          </cell>
        </row>
        <row r="94">
          <cell r="A94">
            <v>39203</v>
          </cell>
        </row>
        <row r="95">
          <cell r="A95">
            <v>39234</v>
          </cell>
        </row>
        <row r="96">
          <cell r="A96">
            <v>39264</v>
          </cell>
        </row>
        <row r="97">
          <cell r="A97">
            <v>39325</v>
          </cell>
        </row>
        <row r="98">
          <cell r="A98">
            <v>39355</v>
          </cell>
        </row>
        <row r="99">
          <cell r="A99">
            <v>39386</v>
          </cell>
        </row>
        <row r="100">
          <cell r="A100">
            <v>39416</v>
          </cell>
        </row>
        <row r="101">
          <cell r="A101">
            <v>39447</v>
          </cell>
        </row>
        <row r="102">
          <cell r="A102">
            <v>39478</v>
          </cell>
        </row>
        <row r="103">
          <cell r="A103">
            <v>39507</v>
          </cell>
        </row>
        <row r="104">
          <cell r="A104">
            <v>39538</v>
          </cell>
        </row>
        <row r="105">
          <cell r="A105">
            <v>39568</v>
          </cell>
        </row>
        <row r="106">
          <cell r="A106">
            <v>39599</v>
          </cell>
        </row>
        <row r="107">
          <cell r="A107">
            <v>39629</v>
          </cell>
        </row>
        <row r="108">
          <cell r="A108">
            <v>39660</v>
          </cell>
        </row>
        <row r="109">
          <cell r="A109">
            <v>39691</v>
          </cell>
        </row>
        <row r="110">
          <cell r="A110">
            <v>39721</v>
          </cell>
        </row>
        <row r="111">
          <cell r="A111">
            <v>39752</v>
          </cell>
        </row>
        <row r="112">
          <cell r="A112">
            <v>39782</v>
          </cell>
        </row>
        <row r="113">
          <cell r="A113">
            <v>39813</v>
          </cell>
        </row>
        <row r="114">
          <cell r="A114">
            <v>39844</v>
          </cell>
        </row>
        <row r="115">
          <cell r="A115">
            <v>39872</v>
          </cell>
        </row>
        <row r="116">
          <cell r="A116">
            <v>39903</v>
          </cell>
        </row>
        <row r="117">
          <cell r="A117">
            <v>39933</v>
          </cell>
        </row>
        <row r="118">
          <cell r="A118">
            <v>39964</v>
          </cell>
        </row>
        <row r="119">
          <cell r="A119">
            <v>39994</v>
          </cell>
        </row>
        <row r="120">
          <cell r="A120">
            <v>40025</v>
          </cell>
        </row>
        <row r="121">
          <cell r="A121">
            <v>40056</v>
          </cell>
        </row>
        <row r="122">
          <cell r="A122">
            <v>40086</v>
          </cell>
        </row>
        <row r="123">
          <cell r="A123">
            <v>40117</v>
          </cell>
        </row>
        <row r="124">
          <cell r="A124">
            <v>40147</v>
          </cell>
        </row>
        <row r="125">
          <cell r="A125">
            <v>40178</v>
          </cell>
        </row>
        <row r="126">
          <cell r="A126">
            <v>40209</v>
          </cell>
        </row>
        <row r="127">
          <cell r="A127">
            <v>40237</v>
          </cell>
        </row>
        <row r="128">
          <cell r="A128">
            <v>40268</v>
          </cell>
        </row>
        <row r="129">
          <cell r="A129">
            <v>40298</v>
          </cell>
        </row>
        <row r="130">
          <cell r="A130">
            <v>40329</v>
          </cell>
        </row>
        <row r="131">
          <cell r="A131">
            <v>40359</v>
          </cell>
        </row>
        <row r="132">
          <cell r="A132">
            <v>40390</v>
          </cell>
        </row>
        <row r="133">
          <cell r="A133">
            <v>40421</v>
          </cell>
        </row>
        <row r="134">
          <cell r="A134">
            <v>40451</v>
          </cell>
        </row>
        <row r="135">
          <cell r="A135">
            <v>40482</v>
          </cell>
        </row>
        <row r="136">
          <cell r="A136">
            <v>40512</v>
          </cell>
        </row>
        <row r="137">
          <cell r="A137">
            <v>40543</v>
          </cell>
        </row>
        <row r="138">
          <cell r="A138">
            <v>40574</v>
          </cell>
        </row>
        <row r="139">
          <cell r="A139">
            <v>40602</v>
          </cell>
        </row>
        <row r="140">
          <cell r="A140">
            <v>40633</v>
          </cell>
        </row>
        <row r="141">
          <cell r="A141">
            <v>40663</v>
          </cell>
        </row>
        <row r="142">
          <cell r="A142">
            <v>40694</v>
          </cell>
        </row>
        <row r="143">
          <cell r="A143">
            <v>40724</v>
          </cell>
        </row>
        <row r="144">
          <cell r="A144">
            <v>40755</v>
          </cell>
        </row>
        <row r="145">
          <cell r="A145">
            <v>40786</v>
          </cell>
        </row>
        <row r="146">
          <cell r="A146">
            <v>40816</v>
          </cell>
        </row>
        <row r="147">
          <cell r="A147">
            <v>40847</v>
          </cell>
        </row>
        <row r="148">
          <cell r="A148">
            <v>40877</v>
          </cell>
        </row>
        <row r="149">
          <cell r="A149">
            <v>40878</v>
          </cell>
        </row>
        <row r="150">
          <cell r="A150">
            <v>40909</v>
          </cell>
        </row>
        <row r="151">
          <cell r="A151">
            <v>40940</v>
          </cell>
        </row>
        <row r="152">
          <cell r="A152">
            <v>40969</v>
          </cell>
        </row>
        <row r="153">
          <cell r="A153">
            <v>41000</v>
          </cell>
        </row>
        <row r="154">
          <cell r="A154">
            <v>41030</v>
          </cell>
        </row>
        <row r="155">
          <cell r="A155">
            <v>41061</v>
          </cell>
        </row>
        <row r="156">
          <cell r="A156">
            <v>41091</v>
          </cell>
        </row>
        <row r="157">
          <cell r="A157">
            <v>41122</v>
          </cell>
        </row>
        <row r="158">
          <cell r="A158">
            <v>41182</v>
          </cell>
        </row>
        <row r="159">
          <cell r="A159">
            <v>41213</v>
          </cell>
        </row>
        <row r="160">
          <cell r="A160">
            <v>41243</v>
          </cell>
        </row>
        <row r="161">
          <cell r="A161">
            <v>41274</v>
          </cell>
        </row>
        <row r="162">
          <cell r="A162">
            <v>41305</v>
          </cell>
        </row>
        <row r="163">
          <cell r="A163">
            <v>41333</v>
          </cell>
        </row>
        <row r="164">
          <cell r="A164">
            <v>41334</v>
          </cell>
        </row>
        <row r="165">
          <cell r="A165">
            <v>41394</v>
          </cell>
        </row>
        <row r="166">
          <cell r="A166">
            <v>41425</v>
          </cell>
        </row>
        <row r="167">
          <cell r="A167">
            <v>41455</v>
          </cell>
        </row>
        <row r="168">
          <cell r="A168">
            <v>41486</v>
          </cell>
        </row>
        <row r="169">
          <cell r="A169">
            <v>41517</v>
          </cell>
        </row>
        <row r="170">
          <cell r="A170">
            <v>41547</v>
          </cell>
        </row>
        <row r="171">
          <cell r="A171">
            <v>41578</v>
          </cell>
        </row>
        <row r="172">
          <cell r="A172">
            <v>41608</v>
          </cell>
        </row>
        <row r="173">
          <cell r="A173">
            <v>41639</v>
          </cell>
        </row>
        <row r="174">
          <cell r="A174">
            <v>41670</v>
          </cell>
        </row>
        <row r="175">
          <cell r="A175">
            <v>41698</v>
          </cell>
        </row>
        <row r="176">
          <cell r="A176">
            <v>41729</v>
          </cell>
        </row>
        <row r="177">
          <cell r="A177">
            <v>41759</v>
          </cell>
        </row>
        <row r="178">
          <cell r="A178">
            <v>41790</v>
          </cell>
        </row>
        <row r="179">
          <cell r="A179">
            <v>41820</v>
          </cell>
        </row>
        <row r="180">
          <cell r="A180">
            <v>41851</v>
          </cell>
        </row>
        <row r="181">
          <cell r="A181">
            <v>41882</v>
          </cell>
        </row>
        <row r="182">
          <cell r="A182">
            <v>41912</v>
          </cell>
        </row>
        <row r="183">
          <cell r="A183">
            <v>41943</v>
          </cell>
        </row>
        <row r="184">
          <cell r="A184">
            <v>41973</v>
          </cell>
        </row>
        <row r="185">
          <cell r="A185">
            <v>42004</v>
          </cell>
        </row>
        <row r="186">
          <cell r="A186">
            <v>42035</v>
          </cell>
        </row>
        <row r="187">
          <cell r="A187">
            <v>42063</v>
          </cell>
        </row>
        <row r="188">
          <cell r="A188">
            <v>42094</v>
          </cell>
        </row>
        <row r="189">
          <cell r="A189">
            <v>42124</v>
          </cell>
        </row>
        <row r="190">
          <cell r="A190">
            <v>42155</v>
          </cell>
        </row>
        <row r="191">
          <cell r="A191">
            <v>42185</v>
          </cell>
        </row>
        <row r="192">
          <cell r="A192">
            <v>42216</v>
          </cell>
        </row>
        <row r="193">
          <cell r="A193">
            <v>42247</v>
          </cell>
        </row>
        <row r="194">
          <cell r="A194">
            <v>42277</v>
          </cell>
        </row>
        <row r="195">
          <cell r="A195">
            <v>42308</v>
          </cell>
        </row>
        <row r="196">
          <cell r="A196">
            <v>42338</v>
          </cell>
        </row>
        <row r="197">
          <cell r="A197">
            <v>42369</v>
          </cell>
        </row>
        <row r="198">
          <cell r="A198">
            <v>42400</v>
          </cell>
        </row>
        <row r="199">
          <cell r="A199">
            <v>42429</v>
          </cell>
        </row>
        <row r="200">
          <cell r="A200">
            <v>42460</v>
          </cell>
        </row>
        <row r="201">
          <cell r="A201">
            <v>42490</v>
          </cell>
        </row>
        <row r="202">
          <cell r="A202">
            <v>42521</v>
          </cell>
        </row>
        <row r="203">
          <cell r="A203">
            <v>42551</v>
          </cell>
        </row>
        <row r="204">
          <cell r="A204">
            <v>42582</v>
          </cell>
        </row>
        <row r="205">
          <cell r="A205">
            <v>42613</v>
          </cell>
        </row>
        <row r="206">
          <cell r="A206">
            <v>42643</v>
          </cell>
        </row>
        <row r="207">
          <cell r="A207">
            <v>42674</v>
          </cell>
        </row>
        <row r="208">
          <cell r="A208">
            <v>42704</v>
          </cell>
        </row>
        <row r="209">
          <cell r="A209">
            <v>42735</v>
          </cell>
        </row>
        <row r="210">
          <cell r="A210">
            <v>42766</v>
          </cell>
        </row>
        <row r="211">
          <cell r="A211">
            <v>42794</v>
          </cell>
        </row>
        <row r="212">
          <cell r="A212">
            <v>42825</v>
          </cell>
        </row>
        <row r="213">
          <cell r="A213">
            <v>42855</v>
          </cell>
        </row>
        <row r="214">
          <cell r="A214">
            <v>42886</v>
          </cell>
        </row>
        <row r="215">
          <cell r="A215">
            <v>42916</v>
          </cell>
        </row>
        <row r="216">
          <cell r="A216">
            <v>42947</v>
          </cell>
        </row>
        <row r="217">
          <cell r="A217">
            <v>42978</v>
          </cell>
        </row>
        <row r="218">
          <cell r="A218">
            <v>43008</v>
          </cell>
        </row>
        <row r="219">
          <cell r="A219">
            <v>43039</v>
          </cell>
        </row>
        <row r="220">
          <cell r="A220">
            <v>43069</v>
          </cell>
        </row>
        <row r="221">
          <cell r="A221">
            <v>43100</v>
          </cell>
        </row>
        <row r="222">
          <cell r="A222">
            <v>43131</v>
          </cell>
        </row>
        <row r="223">
          <cell r="A223">
            <v>43159</v>
          </cell>
        </row>
        <row r="224">
          <cell r="A224">
            <v>43190</v>
          </cell>
        </row>
        <row r="225">
          <cell r="A225">
            <v>43220</v>
          </cell>
        </row>
        <row r="226">
          <cell r="A226">
            <v>43251</v>
          </cell>
        </row>
        <row r="227">
          <cell r="A227">
            <v>43281</v>
          </cell>
        </row>
        <row r="228">
          <cell r="A228">
            <v>43312</v>
          </cell>
        </row>
        <row r="229">
          <cell r="A229">
            <v>43343</v>
          </cell>
        </row>
        <row r="230">
          <cell r="A230">
            <v>43373</v>
          </cell>
        </row>
        <row r="231">
          <cell r="A231">
            <v>43404</v>
          </cell>
        </row>
        <row r="232">
          <cell r="A232">
            <v>43434</v>
          </cell>
        </row>
        <row r="233">
          <cell r="A233">
            <v>43465</v>
          </cell>
        </row>
        <row r="234">
          <cell r="A234">
            <v>43496</v>
          </cell>
        </row>
        <row r="235">
          <cell r="A235">
            <v>43524</v>
          </cell>
        </row>
        <row r="236">
          <cell r="A236">
            <v>43555</v>
          </cell>
        </row>
        <row r="237">
          <cell r="A237">
            <v>43585</v>
          </cell>
        </row>
        <row r="238">
          <cell r="A238">
            <v>43616</v>
          </cell>
        </row>
        <row r="239">
          <cell r="A239">
            <v>43646</v>
          </cell>
        </row>
        <row r="240">
          <cell r="A240">
            <v>43677</v>
          </cell>
        </row>
        <row r="241">
          <cell r="A241">
            <v>43708</v>
          </cell>
        </row>
        <row r="242">
          <cell r="A242">
            <v>43738</v>
          </cell>
        </row>
        <row r="243">
          <cell r="A243">
            <v>43769</v>
          </cell>
        </row>
        <row r="244">
          <cell r="A244">
            <v>43799</v>
          </cell>
        </row>
        <row r="245">
          <cell r="A245">
            <v>43830</v>
          </cell>
        </row>
        <row r="246">
          <cell r="A246">
            <v>43861</v>
          </cell>
        </row>
        <row r="247">
          <cell r="A247">
            <v>43890</v>
          </cell>
        </row>
        <row r="248">
          <cell r="A248">
            <v>43921</v>
          </cell>
        </row>
        <row r="249">
          <cell r="A249">
            <v>43951</v>
          </cell>
        </row>
        <row r="250">
          <cell r="A250">
            <v>43982</v>
          </cell>
        </row>
        <row r="251">
          <cell r="A251">
            <v>44012</v>
          </cell>
        </row>
        <row r="252">
          <cell r="A252">
            <v>44043</v>
          </cell>
        </row>
        <row r="253">
          <cell r="A253">
            <v>44074</v>
          </cell>
        </row>
        <row r="254">
          <cell r="A254">
            <v>44104</v>
          </cell>
        </row>
        <row r="255">
          <cell r="A255">
            <v>44135</v>
          </cell>
        </row>
        <row r="256">
          <cell r="A256">
            <v>44165</v>
          </cell>
        </row>
        <row r="257">
          <cell r="A257">
            <v>44196</v>
          </cell>
        </row>
        <row r="258">
          <cell r="A258">
            <v>44227</v>
          </cell>
        </row>
        <row r="259">
          <cell r="A259">
            <v>44255</v>
          </cell>
        </row>
        <row r="260">
          <cell r="A260">
            <v>44286</v>
          </cell>
        </row>
        <row r="261">
          <cell r="A261">
            <v>44316</v>
          </cell>
        </row>
        <row r="262">
          <cell r="A262">
            <v>44347</v>
          </cell>
        </row>
        <row r="263">
          <cell r="A263">
            <v>44377</v>
          </cell>
        </row>
        <row r="264">
          <cell r="A264">
            <v>44408</v>
          </cell>
        </row>
        <row r="265">
          <cell r="A265">
            <v>44439</v>
          </cell>
        </row>
        <row r="266">
          <cell r="A266">
            <v>44469</v>
          </cell>
        </row>
        <row r="267">
          <cell r="A267">
            <v>44500</v>
          </cell>
        </row>
        <row r="268">
          <cell r="A268">
            <v>44530</v>
          </cell>
        </row>
        <row r="269">
          <cell r="A269">
            <v>44561</v>
          </cell>
        </row>
        <row r="270">
          <cell r="A270">
            <v>44592</v>
          </cell>
        </row>
        <row r="271">
          <cell r="A271">
            <v>44620</v>
          </cell>
        </row>
        <row r="272">
          <cell r="A272">
            <v>44651</v>
          </cell>
        </row>
        <row r="273">
          <cell r="A273">
            <v>44681</v>
          </cell>
        </row>
        <row r="274">
          <cell r="A274">
            <v>44712</v>
          </cell>
        </row>
        <row r="275">
          <cell r="A275">
            <v>44742</v>
          </cell>
        </row>
        <row r="276">
          <cell r="A276">
            <v>44773</v>
          </cell>
        </row>
        <row r="277">
          <cell r="A277">
            <v>44804</v>
          </cell>
        </row>
        <row r="278">
          <cell r="A278">
            <v>44834</v>
          </cell>
        </row>
        <row r="279">
          <cell r="A279">
            <v>44865</v>
          </cell>
        </row>
        <row r="280">
          <cell r="A280">
            <v>44895</v>
          </cell>
        </row>
        <row r="281">
          <cell r="A281">
            <v>44926</v>
          </cell>
        </row>
        <row r="282">
          <cell r="A282">
            <v>44957</v>
          </cell>
        </row>
        <row r="283">
          <cell r="A283">
            <v>44985</v>
          </cell>
        </row>
        <row r="284">
          <cell r="A284">
            <v>45016</v>
          </cell>
        </row>
        <row r="285">
          <cell r="A285">
            <v>45046</v>
          </cell>
        </row>
        <row r="286">
          <cell r="A286">
            <v>45077</v>
          </cell>
        </row>
        <row r="287">
          <cell r="A287">
            <v>45107</v>
          </cell>
        </row>
        <row r="288">
          <cell r="A288">
            <v>45138</v>
          </cell>
        </row>
        <row r="289">
          <cell r="A289">
            <v>45169</v>
          </cell>
        </row>
        <row r="290">
          <cell r="A290">
            <v>45199</v>
          </cell>
        </row>
        <row r="291">
          <cell r="A291">
            <v>45230</v>
          </cell>
        </row>
        <row r="292">
          <cell r="A292">
            <v>45260</v>
          </cell>
        </row>
        <row r="293">
          <cell r="A293">
            <v>45291</v>
          </cell>
        </row>
        <row r="294">
          <cell r="A294">
            <v>45322</v>
          </cell>
        </row>
        <row r="295">
          <cell r="A295">
            <v>45350</v>
          </cell>
        </row>
        <row r="296">
          <cell r="A296">
            <v>45382</v>
          </cell>
        </row>
        <row r="297">
          <cell r="A297">
            <v>45412</v>
          </cell>
        </row>
        <row r="298">
          <cell r="A298">
            <v>45443</v>
          </cell>
        </row>
        <row r="299">
          <cell r="A299">
            <v>45473</v>
          </cell>
        </row>
      </sheetData>
      <sheetData sheetId="16" refreshError="1"/>
      <sheetData sheetId="17">
        <row r="3">
          <cell r="B3" t="str">
            <v>Inicio</v>
          </cell>
        </row>
        <row r="4">
          <cell r="B4" t="str">
            <v>Datos históricos de la deuda GNC</v>
          </cell>
        </row>
        <row r="5">
          <cell r="B5" t="str">
            <v>Frecuencia de producción:</v>
          </cell>
        </row>
        <row r="6">
          <cell r="B6" t="str">
            <v>Mensualmente</v>
          </cell>
        </row>
        <row r="7">
          <cell r="B7" t="str">
            <v>Contenido:</v>
          </cell>
        </row>
        <row r="8">
          <cell r="B8" t="str">
            <v>Información histórica de la estructura y perfil de la deuda pública de Colombia</v>
          </cell>
        </row>
        <row r="9">
          <cell r="B9" t="str">
            <v>Fuentes:</v>
          </cell>
        </row>
        <row r="10">
          <cell r="B10" t="str">
            <v xml:space="preserve">Subdirección de Riesgo - Dirección General de Crédito Público y del Tesoro Nacional </v>
          </cell>
        </row>
        <row r="12">
          <cell r="B12" t="str">
            <v>Ministerio de Hacienda y Crédito Público, Colombia</v>
          </cell>
        </row>
        <row r="13">
          <cell r="B13" t="str">
            <v>Ubicación virtual:</v>
          </cell>
        </row>
        <row r="14">
          <cell r="B14" t="str">
            <v>http://www.irc.gov.co, http://www.minhacienda.gov.co</v>
          </cell>
        </row>
        <row r="15">
          <cell r="B15" t="str">
            <v>Fecha de última revisión de formato:</v>
          </cell>
        </row>
        <row r="16">
          <cell r="B16">
            <v>43069</v>
          </cell>
        </row>
        <row r="17">
          <cell r="B17" t="str">
            <v>Fecha corte</v>
          </cell>
        </row>
        <row r="18">
          <cell r="B18">
            <v>45473</v>
          </cell>
        </row>
        <row r="19">
          <cell r="B19" t="str">
            <v>Categoria</v>
          </cell>
        </row>
        <row r="20">
          <cell r="B20" t="str">
            <v>Vínculos</v>
          </cell>
        </row>
        <row r="21">
          <cell r="B21" t="str">
            <v>Descripción</v>
          </cell>
        </row>
        <row r="22">
          <cell r="B22" t="str">
            <v>Saldos de deuda</v>
          </cell>
        </row>
        <row r="23">
          <cell r="B23" t="str">
            <v>Saldos</v>
          </cell>
        </row>
        <row r="24">
          <cell r="B24" t="str">
            <v>Fuentes de deuda</v>
          </cell>
        </row>
        <row r="25">
          <cell r="B25" t="str">
            <v>Interna</v>
          </cell>
        </row>
        <row r="26">
          <cell r="B26" t="str">
            <v>Externa</v>
          </cell>
        </row>
        <row r="27">
          <cell r="B27" t="str">
            <v>Total</v>
          </cell>
        </row>
        <row r="28">
          <cell r="B28" t="str">
            <v>Tasas</v>
          </cell>
        </row>
        <row r="29">
          <cell r="B29" t="str">
            <v>Interna</v>
          </cell>
        </row>
        <row r="30">
          <cell r="B30" t="str">
            <v>Externa</v>
          </cell>
        </row>
        <row r="31">
          <cell r="B31" t="str">
            <v>Total</v>
          </cell>
        </row>
        <row r="32">
          <cell r="B32" t="str">
            <v>Moneda</v>
          </cell>
        </row>
        <row r="33">
          <cell r="B33" t="str">
            <v>Interna</v>
          </cell>
        </row>
        <row r="34">
          <cell r="B34" t="str">
            <v>Externa</v>
          </cell>
        </row>
        <row r="35">
          <cell r="B35" t="str">
            <v>Total</v>
          </cell>
        </row>
        <row r="37">
          <cell r="B37" t="str">
            <v>Interna</v>
          </cell>
        </row>
        <row r="38">
          <cell r="B38" t="str">
            <v>Externa</v>
          </cell>
        </row>
        <row r="39">
          <cell r="B39" t="str">
            <v>Total</v>
          </cell>
        </row>
        <row r="40">
          <cell r="B40" t="str">
            <v>Indicadores</v>
          </cell>
        </row>
        <row r="41">
          <cell r="B41" t="str">
            <v>Indicadores</v>
          </cell>
        </row>
        <row r="42">
          <cell r="B42" t="str">
            <v>Leyenda de etiquetas</v>
          </cell>
        </row>
        <row r="43">
          <cell r="B43" t="str">
            <v>Deuda interna</v>
          </cell>
        </row>
        <row r="44">
          <cell r="B44" t="str">
            <v>Deuda externa</v>
          </cell>
        </row>
        <row r="45">
          <cell r="B45" t="str">
            <v>Deuda total</v>
          </cell>
        </row>
        <row r="46">
          <cell r="B46" t="str">
            <v>General</v>
          </cell>
        </row>
        <row r="47">
          <cell r="B47" t="str">
            <v xml:space="preserve">Estadísticas de los saldos de la deuda GNC. Organizado por deuda interna y externa. 
Ejemplos: Saldo  deuda externa en USD; Composición en moneda extranjera como % de total.
</v>
          </cell>
        </row>
        <row r="48">
          <cell r="B48" t="str">
            <v xml:space="preserve">Estadísticas de las fuentes de la deuda GNC. Organizado por instrumento de financiamiento. 
Ejemplos: TES; Bonos de Paz; y otros.
</v>
          </cell>
        </row>
        <row r="49">
          <cell r="B49" t="str">
            <v xml:space="preserve">Estadísticas de las monedas en las cuales está denominada la deuda GNC. Organizado por las monedas del instrumento de financiamiento. 
Ejemplos : EUR; COP; USD;  y otros.
</v>
          </cell>
        </row>
        <row r="50">
          <cell r="B50" t="str">
            <v xml:space="preserve">Estadísticas del servicio de deuda GNC. Organizado por amortizaciones, intereses, y totales. 
</v>
          </cell>
        </row>
        <row r="51">
          <cell r="B51" t="str">
            <v xml:space="preserve">Estadísticas de indicadores comunes de la deuda GNC. 
Ejemplos: Vida Media; Duración ; y Cupón Promedio.
</v>
          </cell>
        </row>
        <row r="52">
          <cell r="B52" t="str">
            <v xml:space="preserve">Estadísticas de las estructuras de las tasas de la deuda GNC. Organizado por las características del instrumento de financiamiento.
Ejemplos : Variable; Fija; COP Fija; UVR Fija; y otros.
</v>
          </cell>
        </row>
        <row r="53">
          <cell r="B53" t="str">
            <v>Corte a</v>
          </cell>
        </row>
        <row r="54">
          <cell r="B54" t="str">
            <v>Saldos de deuda</v>
          </cell>
        </row>
        <row r="55">
          <cell r="B55" t="str">
            <v>(COP millones)</v>
          </cell>
        </row>
        <row r="56">
          <cell r="B56" t="str">
            <v>Saldos de deuda</v>
          </cell>
        </row>
        <row r="57">
          <cell r="B57" t="str">
            <v>(USD millones)</v>
          </cell>
        </row>
        <row r="58">
          <cell r="B58" t="str">
            <v>Composición interna y externa</v>
          </cell>
        </row>
        <row r="59">
          <cell r="B59" t="str">
            <v>(% de deuda total)</v>
          </cell>
        </row>
        <row r="60">
          <cell r="B60" t="str">
            <v>Deuda interna</v>
          </cell>
        </row>
        <row r="61">
          <cell r="B61" t="str">
            <v>Deuda externa</v>
          </cell>
        </row>
        <row r="62">
          <cell r="B62" t="str">
            <v>Deuda total</v>
          </cell>
        </row>
        <row r="65">
          <cell r="B65" t="str">
            <v>Composición por fuente - deuda interna</v>
          </cell>
        </row>
        <row r="66">
          <cell r="B66" t="str">
            <v>(% de deuda interna)</v>
          </cell>
        </row>
        <row r="67">
          <cell r="B67" t="str">
            <v>TES</v>
          </cell>
        </row>
        <row r="68">
          <cell r="B68" t="str">
            <v>Bonos Fogafin</v>
          </cell>
        </row>
        <row r="69">
          <cell r="B69" t="str">
            <v xml:space="preserve">Bonos Ley 546/99 </v>
          </cell>
        </row>
        <row r="70">
          <cell r="B70" t="str">
            <v>Títulos de reducción de deuda</v>
          </cell>
        </row>
        <row r="71">
          <cell r="B71" t="str">
            <v>Bonos agrarios</v>
          </cell>
        </row>
        <row r="72">
          <cell r="B72" t="str">
            <v>Bonos de paz</v>
          </cell>
        </row>
        <row r="73">
          <cell r="B73" t="str">
            <v>Bono de seguridad</v>
          </cell>
        </row>
        <row r="74">
          <cell r="B74" t="str">
            <v>Otros</v>
          </cell>
        </row>
        <row r="75">
          <cell r="B75" t="str">
            <v>Pagarés de Tesorería</v>
          </cell>
        </row>
        <row r="76">
          <cell r="B76" t="str">
            <v>Composición por fuente - deuda total</v>
          </cell>
        </row>
        <row r="77">
          <cell r="B77" t="str">
            <v>(% de deuda total)</v>
          </cell>
        </row>
        <row r="78">
          <cell r="B78" t="str">
            <v>TES</v>
          </cell>
        </row>
        <row r="79">
          <cell r="B79" t="str">
            <v>Bonos externos</v>
          </cell>
        </row>
        <row r="80">
          <cell r="B80" t="str">
            <v xml:space="preserve">BID                            </v>
          </cell>
        </row>
        <row r="81">
          <cell r="B81" t="str">
            <v>Bonos Fogafin</v>
          </cell>
        </row>
        <row r="82">
          <cell r="B82" t="str">
            <v xml:space="preserve">BIRF                          </v>
          </cell>
        </row>
        <row r="83">
          <cell r="B83" t="str">
            <v xml:space="preserve">Créditos comerciales       </v>
          </cell>
        </row>
        <row r="84">
          <cell r="B84" t="str">
            <v>Bonos Ley 546</v>
          </cell>
        </row>
        <row r="85">
          <cell r="B85" t="str">
            <v>CAF</v>
          </cell>
        </row>
        <row r="86">
          <cell r="B86" t="str">
            <v>Bonos Agrarios</v>
          </cell>
        </row>
        <row r="87">
          <cell r="B87" t="str">
            <v>Bonos de Paz</v>
          </cell>
        </row>
        <row r="88">
          <cell r="B88" t="str">
            <v>Títulos de reducción de deuda</v>
          </cell>
        </row>
        <row r="89">
          <cell r="B89" t="str">
            <v>Otros - deuda interna</v>
          </cell>
        </row>
        <row r="90">
          <cell r="B90" t="str">
            <v>Otros - deuda externa</v>
          </cell>
        </row>
        <row r="93">
          <cell r="B93" t="str">
            <v>Composición por tipo de interés - deuda interna</v>
          </cell>
        </row>
        <row r="94">
          <cell r="B94" t="str">
            <v>(% de deuda interna)</v>
          </cell>
        </row>
        <row r="95">
          <cell r="B95" t="str">
            <v>COP fija</v>
          </cell>
        </row>
        <row r="96">
          <cell r="B96" t="str">
            <v>COP IPC</v>
          </cell>
        </row>
        <row r="97">
          <cell r="B97" t="str">
            <v>UVR fija</v>
          </cell>
        </row>
        <row r="98">
          <cell r="B98" t="str">
            <v>USD fija</v>
          </cell>
        </row>
        <row r="99">
          <cell r="B99" t="str">
            <v xml:space="preserve">DTF </v>
          </cell>
        </row>
        <row r="100">
          <cell r="B100" t="str">
            <v>Otros</v>
          </cell>
        </row>
        <row r="101">
          <cell r="B101" t="str">
            <v>%tasa fija</v>
          </cell>
        </row>
        <row r="102">
          <cell r="B102" t="str">
            <v>% tasa variable</v>
          </cell>
        </row>
        <row r="103">
          <cell r="B103" t="str">
            <v xml:space="preserve">Composición por tipo de interés - deuda externa  </v>
          </cell>
        </row>
        <row r="104">
          <cell r="B104" t="str">
            <v xml:space="preserve">(% de deuda externa) </v>
          </cell>
        </row>
        <row r="105">
          <cell r="B105" t="str">
            <v>Tasa fija</v>
          </cell>
        </row>
        <row r="106">
          <cell r="B106" t="str">
            <v>Tasa variable</v>
          </cell>
        </row>
        <row r="107">
          <cell r="B107" t="str">
            <v>Composición por tasa de interés - deuda total</v>
          </cell>
        </row>
        <row r="108">
          <cell r="B108" t="str">
            <v>(% de deuda total)</v>
          </cell>
        </row>
        <row r="109">
          <cell r="B109" t="str">
            <v>Tasa fija</v>
          </cell>
        </row>
        <row r="110">
          <cell r="B110" t="str">
            <v>Tasa variable</v>
          </cell>
        </row>
        <row r="111">
          <cell r="B111" t="str">
            <v>Composición por moneda - deuda interna</v>
          </cell>
        </row>
        <row r="112">
          <cell r="B112" t="str">
            <v>(% de deuda interna)</v>
          </cell>
        </row>
        <row r="113">
          <cell r="B113" t="str">
            <v>COP</v>
          </cell>
        </row>
        <row r="114">
          <cell r="B114" t="str">
            <v>UVR indexado (COP)</v>
          </cell>
        </row>
        <row r="115">
          <cell r="B115" t="str">
            <v>USD</v>
          </cell>
        </row>
        <row r="116">
          <cell r="B116" t="str">
            <v>% Moneda local</v>
          </cell>
        </row>
        <row r="117">
          <cell r="B117" t="str">
            <v>% Moneda extranjera</v>
          </cell>
        </row>
        <row r="118">
          <cell r="B118" t="str">
            <v xml:space="preserve">Composición por moneda - deuda externa </v>
          </cell>
        </row>
        <row r="119">
          <cell r="B119" t="str">
            <v xml:space="preserve">(% de deuda externa) </v>
          </cell>
        </row>
        <row r="120">
          <cell r="B120" t="str">
            <v>USD</v>
          </cell>
        </row>
        <row r="121">
          <cell r="B121" t="str">
            <v>EUR</v>
          </cell>
        </row>
        <row r="122">
          <cell r="B122" t="str">
            <v>JPY</v>
          </cell>
        </row>
        <row r="123">
          <cell r="B123" t="str">
            <v>GBP</v>
          </cell>
        </row>
        <row r="124">
          <cell r="B124" t="str">
            <v>COP</v>
          </cell>
        </row>
        <row r="125">
          <cell r="B125" t="str">
            <v>% Moneda extranjera</v>
          </cell>
        </row>
        <row r="126">
          <cell r="B126" t="str">
            <v>Composición por moneda - deuda total</v>
          </cell>
        </row>
        <row r="127">
          <cell r="B127" t="str">
            <v>(% de deuda total)</v>
          </cell>
        </row>
        <row r="128">
          <cell r="B128" t="str">
            <v>USD</v>
          </cell>
        </row>
        <row r="129">
          <cell r="B129" t="str">
            <v>EUR</v>
          </cell>
        </row>
        <row r="130">
          <cell r="B130" t="str">
            <v>JPY</v>
          </cell>
        </row>
        <row r="131">
          <cell r="B131" t="str">
            <v>UVR (COP)</v>
          </cell>
        </row>
        <row r="132">
          <cell r="B132" t="str">
            <v>COP</v>
          </cell>
        </row>
        <row r="133">
          <cell r="B133" t="str">
            <v>% Moneda local</v>
          </cell>
        </row>
        <row r="134">
          <cell r="B134" t="str">
            <v>% Moneda extranjera</v>
          </cell>
        </row>
        <row r="135">
          <cell r="B135" t="str">
            <v>Perfil de Vencimientos - deuda interna</v>
          </cell>
        </row>
        <row r="136">
          <cell r="B136" t="str">
            <v>(COP millones)</v>
          </cell>
        </row>
        <row r="137">
          <cell r="B137" t="str">
            <v>Período de servicio</v>
          </cell>
        </row>
        <row r="138">
          <cell r="B138" t="str">
            <v>Amortizaciones</v>
          </cell>
        </row>
        <row r="139">
          <cell r="B139" t="str">
            <v>Intereses</v>
          </cell>
        </row>
        <row r="140">
          <cell r="B140" t="str">
            <v>Total</v>
          </cell>
        </row>
        <row r="141">
          <cell r="B141" t="str">
            <v>Perfil de Vencimientos - deuda externa</v>
          </cell>
        </row>
        <row r="142">
          <cell r="B142" t="str">
            <v>(COP millones)</v>
          </cell>
        </row>
        <row r="143">
          <cell r="B143" t="str">
            <v>Perfil de vencimientos - deuda total</v>
          </cell>
        </row>
        <row r="144">
          <cell r="B144" t="str">
            <v xml:space="preserve">(COP millones) </v>
          </cell>
        </row>
        <row r="145">
          <cell r="B145" t="str">
            <v>Duración</v>
          </cell>
        </row>
        <row r="146">
          <cell r="B146" t="str">
            <v>(Años)</v>
          </cell>
        </row>
        <row r="147">
          <cell r="B147" t="str">
            <v>Vida media</v>
          </cell>
        </row>
        <row r="148">
          <cell r="B148" t="str">
            <v>(Años)</v>
          </cell>
        </row>
        <row r="149">
          <cell r="B149" t="str">
            <v>Cupón promedio (%)</v>
          </cell>
        </row>
        <row r="150">
          <cell r="B150" t="str">
            <v>(Tasa anual %)</v>
          </cell>
        </row>
        <row r="151">
          <cell r="B151" t="str">
            <v>Deuda interna</v>
          </cell>
        </row>
        <row r="152">
          <cell r="B152" t="str">
            <v>Deuda externa</v>
          </cell>
        </row>
        <row r="153">
          <cell r="B153" t="str">
            <v>Deuda total</v>
          </cell>
        </row>
        <row r="154">
          <cell r="B154" t="str">
            <v>Deuda interna 
(COP)</v>
          </cell>
        </row>
        <row r="155">
          <cell r="B155" t="str">
            <v>Deuda externa 
(USD)</v>
          </cell>
        </row>
        <row r="163">
          <cell r="B163" t="str">
            <v>COP billones</v>
          </cell>
        </row>
        <row r="164">
          <cell r="B164" t="str">
            <v>Saldo Deuda Bruta GNC</v>
          </cell>
        </row>
      </sheetData>
      <sheetData sheetId="18">
        <row r="39">
          <cell r="A39">
            <v>2024</v>
          </cell>
          <cell r="B39">
            <v>70455873.432236001</v>
          </cell>
          <cell r="C39">
            <v>13224894.686100479</v>
          </cell>
          <cell r="D39">
            <v>83680768.118336484</v>
          </cell>
        </row>
        <row r="40">
          <cell r="A40">
            <v>2025</v>
          </cell>
          <cell r="B40">
            <v>43497544.840176903</v>
          </cell>
          <cell r="C40">
            <v>33337406.846174974</v>
          </cell>
          <cell r="D40">
            <v>76834951.68635188</v>
          </cell>
        </row>
        <row r="41">
          <cell r="A41">
            <v>2026</v>
          </cell>
          <cell r="B41">
            <v>30642966.743000001</v>
          </cell>
          <cell r="C41">
            <v>32266542.352912907</v>
          </cell>
          <cell r="D41">
            <v>62909509.095912904</v>
          </cell>
        </row>
        <row r="42">
          <cell r="A42">
            <v>2027</v>
          </cell>
          <cell r="B42">
            <v>45367840.104041345</v>
          </cell>
          <cell r="C42">
            <v>30166011.693253089</v>
          </cell>
          <cell r="D42">
            <v>75533851.797294438</v>
          </cell>
        </row>
        <row r="43">
          <cell r="A43">
            <v>2028</v>
          </cell>
          <cell r="B43">
            <v>37278597.313000001</v>
          </cell>
          <cell r="C43">
            <v>28286594.405557431</v>
          </cell>
          <cell r="D43">
            <v>65565191.718557432</v>
          </cell>
        </row>
        <row r="44">
          <cell r="A44">
            <v>2029</v>
          </cell>
          <cell r="B44">
            <v>25776291.470588002</v>
          </cell>
          <cell r="C44">
            <v>26231946.708744787</v>
          </cell>
          <cell r="D44">
            <v>52008238.179332793</v>
          </cell>
        </row>
        <row r="45">
          <cell r="A45">
            <v>2030</v>
          </cell>
          <cell r="B45">
            <v>22352419.715</v>
          </cell>
          <cell r="C45">
            <v>25724933.983830873</v>
          </cell>
          <cell r="D45">
            <v>48077353.698830873</v>
          </cell>
        </row>
        <row r="46">
          <cell r="A46">
            <v>2031</v>
          </cell>
          <cell r="B46">
            <v>35014153.807874799</v>
          </cell>
          <cell r="C46">
            <v>24164939.421653301</v>
          </cell>
          <cell r="D46">
            <v>59179093.229528099</v>
          </cell>
        </row>
        <row r="47">
          <cell r="A47">
            <v>2032</v>
          </cell>
          <cell r="B47">
            <v>27972627</v>
          </cell>
          <cell r="C47">
            <v>21994730.997232899</v>
          </cell>
          <cell r="D47">
            <v>49967357.997232899</v>
          </cell>
        </row>
        <row r="48">
          <cell r="A48">
            <v>2033</v>
          </cell>
          <cell r="B48">
            <v>44331328.504476398</v>
          </cell>
          <cell r="C48">
            <v>20219459.20295988</v>
          </cell>
          <cell r="D48">
            <v>64550787.707436278</v>
          </cell>
        </row>
        <row r="49">
          <cell r="A49">
            <v>2034</v>
          </cell>
          <cell r="B49">
            <v>28369603.199999999</v>
          </cell>
          <cell r="C49">
            <v>16052039.311298337</v>
          </cell>
          <cell r="D49">
            <v>44421642.511298336</v>
          </cell>
        </row>
        <row r="50">
          <cell r="A50">
            <v>2035</v>
          </cell>
          <cell r="B50">
            <v>35657289.509619199</v>
          </cell>
          <cell r="C50">
            <v>14169184.320692293</v>
          </cell>
          <cell r="D50">
            <v>49826473.830311492</v>
          </cell>
        </row>
        <row r="51">
          <cell r="A51">
            <v>2036</v>
          </cell>
          <cell r="B51">
            <v>16858426</v>
          </cell>
          <cell r="C51">
            <v>11926423.321868598</v>
          </cell>
          <cell r="D51">
            <v>28784849.321868598</v>
          </cell>
        </row>
        <row r="52">
          <cell r="A52">
            <v>2037</v>
          </cell>
          <cell r="B52">
            <v>39898131.525649503</v>
          </cell>
          <cell r="C52">
            <v>10984648.345539659</v>
          </cell>
          <cell r="D52">
            <v>50882779.871189162</v>
          </cell>
        </row>
        <row r="53">
          <cell r="A53">
            <v>2038</v>
          </cell>
          <cell r="B53">
            <v>0</v>
          </cell>
          <cell r="C53">
            <v>8830140.7405573819</v>
          </cell>
          <cell r="D53">
            <v>8830140.7405573819</v>
          </cell>
        </row>
        <row r="54">
          <cell r="A54">
            <v>2039</v>
          </cell>
          <cell r="B54">
            <v>0</v>
          </cell>
          <cell r="C54">
            <v>8880738.4605391026</v>
          </cell>
          <cell r="D54">
            <v>8880738.4605391026</v>
          </cell>
        </row>
        <row r="55">
          <cell r="A55">
            <v>2040</v>
          </cell>
          <cell r="B55">
            <v>0</v>
          </cell>
          <cell r="C55">
            <v>8932854.1121202763</v>
          </cell>
          <cell r="D55">
            <v>8932854.1121202763</v>
          </cell>
        </row>
        <row r="56">
          <cell r="A56">
            <v>2041</v>
          </cell>
          <cell r="B56">
            <v>0</v>
          </cell>
          <cell r="C56">
            <v>8986533.2332488857</v>
          </cell>
          <cell r="D56">
            <v>8986533.2332488857</v>
          </cell>
        </row>
        <row r="57">
          <cell r="A57">
            <v>2042</v>
          </cell>
          <cell r="B57">
            <v>50337060.899999999</v>
          </cell>
          <cell r="C57">
            <v>9041822.7280113474</v>
          </cell>
          <cell r="D57">
            <v>59378883.628011346</v>
          </cell>
        </row>
        <row r="58">
          <cell r="A58">
            <v>2043</v>
          </cell>
          <cell r="B58">
            <v>0</v>
          </cell>
          <cell r="C58">
            <v>4442592.7743666917</v>
          </cell>
          <cell r="D58">
            <v>4442592.7743666917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</row>
        <row r="69">
          <cell r="A69" t="str">
            <v/>
          </cell>
          <cell r="B69" t="str">
            <v/>
          </cell>
          <cell r="C69" t="str">
            <v/>
          </cell>
          <cell r="D69" t="str">
            <v/>
          </cell>
        </row>
        <row r="70">
          <cell r="A70" t="str">
            <v/>
          </cell>
          <cell r="B70" t="str">
            <v/>
          </cell>
          <cell r="C70" t="str">
            <v/>
          </cell>
          <cell r="D70" t="str">
            <v/>
          </cell>
        </row>
        <row r="71">
          <cell r="A71" t="str">
            <v/>
          </cell>
          <cell r="B71" t="str">
            <v/>
          </cell>
          <cell r="C71" t="str">
            <v/>
          </cell>
          <cell r="D71" t="str">
            <v/>
          </cell>
        </row>
        <row r="72">
          <cell r="A72" t="str">
            <v/>
          </cell>
          <cell r="B72" t="str">
            <v/>
          </cell>
          <cell r="C72" t="str">
            <v/>
          </cell>
          <cell r="D72" t="str">
            <v/>
          </cell>
        </row>
      </sheetData>
      <sheetData sheetId="19">
        <row r="39">
          <cell r="A39">
            <v>2024</v>
          </cell>
          <cell r="B39">
            <v>7497889.5519538205</v>
          </cell>
          <cell r="C39">
            <v>7664602.409478738</v>
          </cell>
          <cell r="D39">
            <v>15162491.961432558</v>
          </cell>
        </row>
        <row r="40">
          <cell r="A40">
            <v>2025</v>
          </cell>
          <cell r="B40">
            <v>19394115.128784455</v>
          </cell>
          <cell r="C40">
            <v>14868815.187182849</v>
          </cell>
          <cell r="D40">
            <v>34262930.315967306</v>
          </cell>
        </row>
        <row r="41">
          <cell r="A41">
            <v>2026</v>
          </cell>
          <cell r="B41">
            <v>19126547.894617252</v>
          </cell>
          <cell r="C41">
            <v>13545850.727259569</v>
          </cell>
          <cell r="D41">
            <v>32672398.621876821</v>
          </cell>
        </row>
        <row r="42">
          <cell r="A42">
            <v>2027</v>
          </cell>
          <cell r="B42">
            <v>20208113.487302013</v>
          </cell>
          <cell r="C42">
            <v>12772526.069583507</v>
          </cell>
          <cell r="D42">
            <v>32980639.556885518</v>
          </cell>
        </row>
        <row r="43">
          <cell r="A43">
            <v>2028</v>
          </cell>
          <cell r="B43">
            <v>12501010.542823145</v>
          </cell>
          <cell r="C43">
            <v>12066232.956108177</v>
          </cell>
          <cell r="D43">
            <v>24567243.498931322</v>
          </cell>
        </row>
        <row r="44">
          <cell r="A44">
            <v>2029</v>
          </cell>
          <cell r="B44">
            <v>20130347.43164425</v>
          </cell>
          <cell r="C44">
            <v>11413574.175322676</v>
          </cell>
          <cell r="D44">
            <v>31543921.606966928</v>
          </cell>
        </row>
        <row r="45">
          <cell r="A45">
            <v>2030</v>
          </cell>
          <cell r="B45">
            <v>16524821.325402897</v>
          </cell>
          <cell r="C45">
            <v>10680085.970725002</v>
          </cell>
          <cell r="D45">
            <v>27204907.2961279</v>
          </cell>
        </row>
        <row r="46">
          <cell r="A46">
            <v>2031</v>
          </cell>
          <cell r="B46">
            <v>21684862.507805094</v>
          </cell>
          <cell r="C46">
            <v>10013868.66131846</v>
          </cell>
          <cell r="D46">
            <v>31698731.169123553</v>
          </cell>
        </row>
        <row r="47">
          <cell r="A47">
            <v>2032</v>
          </cell>
          <cell r="B47">
            <v>17224372.46177417</v>
          </cell>
          <cell r="C47">
            <v>9321217.3232611995</v>
          </cell>
          <cell r="D47">
            <v>26545589.785035372</v>
          </cell>
        </row>
        <row r="48">
          <cell r="A48">
            <v>2033</v>
          </cell>
          <cell r="B48">
            <v>17449649.582628325</v>
          </cell>
          <cell r="C48">
            <v>8485020.6323047951</v>
          </cell>
          <cell r="D48">
            <v>25934670.21493312</v>
          </cell>
        </row>
        <row r="49">
          <cell r="A49">
            <v>2034</v>
          </cell>
          <cell r="B49">
            <v>17062651.772446346</v>
          </cell>
          <cell r="C49">
            <v>7506429.8076706352</v>
          </cell>
          <cell r="D49">
            <v>24569081.58011698</v>
          </cell>
        </row>
        <row r="50">
          <cell r="A50">
            <v>2035</v>
          </cell>
          <cell r="B50">
            <v>16923677.15426828</v>
          </cell>
          <cell r="C50">
            <v>6826015.5512213195</v>
          </cell>
          <cell r="D50">
            <v>23749692.705489598</v>
          </cell>
        </row>
        <row r="51">
          <cell r="A51">
            <v>2036</v>
          </cell>
          <cell r="B51">
            <v>13804965.927915519</v>
          </cell>
          <cell r="C51">
            <v>5937377.920246521</v>
          </cell>
          <cell r="D51">
            <v>19742343.84816204</v>
          </cell>
        </row>
        <row r="52">
          <cell r="A52">
            <v>2037</v>
          </cell>
          <cell r="B52">
            <v>11850595.071100881</v>
          </cell>
          <cell r="C52">
            <v>5629412.460325799</v>
          </cell>
          <cell r="D52">
            <v>17480007.531426679</v>
          </cell>
        </row>
        <row r="53">
          <cell r="A53">
            <v>2038</v>
          </cell>
          <cell r="B53">
            <v>9517205.2860597391</v>
          </cell>
          <cell r="C53">
            <v>4882648.2167418422</v>
          </cell>
          <cell r="D53">
            <v>14399853.502801582</v>
          </cell>
        </row>
        <row r="54">
          <cell r="A54">
            <v>2039</v>
          </cell>
          <cell r="B54">
            <v>5092676.2521942463</v>
          </cell>
          <cell r="C54">
            <v>4704663.4925158359</v>
          </cell>
          <cell r="D54">
            <v>9797339.7447100822</v>
          </cell>
        </row>
        <row r="55">
          <cell r="A55">
            <v>2040</v>
          </cell>
          <cell r="B55">
            <v>5731867.4058398847</v>
          </cell>
          <cell r="C55">
            <v>4452226.2582820207</v>
          </cell>
          <cell r="D55">
            <v>10184093.664121905</v>
          </cell>
        </row>
        <row r="56">
          <cell r="A56">
            <v>2041</v>
          </cell>
          <cell r="B56">
            <v>12132363.153198328</v>
          </cell>
          <cell r="C56">
            <v>3948754.5967777632</v>
          </cell>
          <cell r="D56">
            <v>16081117.749976091</v>
          </cell>
        </row>
        <row r="57">
          <cell r="A57">
            <v>2042</v>
          </cell>
          <cell r="B57">
            <v>5188803.2327285875</v>
          </cell>
          <cell r="C57">
            <v>3458232.9625839908</v>
          </cell>
          <cell r="D57">
            <v>8647036.1953125782</v>
          </cell>
        </row>
        <row r="58">
          <cell r="A58">
            <v>2043</v>
          </cell>
          <cell r="B58">
            <v>272081.8441267942</v>
          </cell>
          <cell r="C58">
            <v>3323158.2234867117</v>
          </cell>
          <cell r="D58">
            <v>3595240.0676135058</v>
          </cell>
        </row>
        <row r="59">
          <cell r="A59">
            <v>2044</v>
          </cell>
          <cell r="B59">
            <v>10512682.817763181</v>
          </cell>
          <cell r="C59">
            <v>3029039.3112586243</v>
          </cell>
          <cell r="D59">
            <v>13541722.129021805</v>
          </cell>
        </row>
        <row r="60">
          <cell r="A60">
            <v>2045</v>
          </cell>
          <cell r="B60">
            <v>18799052.791276325</v>
          </cell>
          <cell r="C60">
            <v>2262634.140681833</v>
          </cell>
          <cell r="D60">
            <v>21061686.931958158</v>
          </cell>
        </row>
        <row r="61">
          <cell r="A61">
            <v>2046</v>
          </cell>
          <cell r="B61">
            <v>130484.15841228039</v>
          </cell>
          <cell r="C61">
            <v>1793037.6519811468</v>
          </cell>
          <cell r="D61">
            <v>1923521.8103934273</v>
          </cell>
        </row>
        <row r="62">
          <cell r="A62">
            <v>2047</v>
          </cell>
          <cell r="B62">
            <v>107862.91137890617</v>
          </cell>
          <cell r="C62">
            <v>1790355.5192291564</v>
          </cell>
          <cell r="D62">
            <v>1898218.4306080625</v>
          </cell>
        </row>
        <row r="63">
          <cell r="A63">
            <v>2048</v>
          </cell>
          <cell r="B63">
            <v>107663.50218336975</v>
          </cell>
          <cell r="C63">
            <v>1793002.4111496289</v>
          </cell>
          <cell r="D63">
            <v>1900665.9133329988</v>
          </cell>
        </row>
        <row r="64">
          <cell r="A64" t="str">
            <v/>
          </cell>
          <cell r="B64" t="str">
            <v/>
          </cell>
          <cell r="C64" t="str">
            <v/>
          </cell>
          <cell r="D64" t="str">
            <v/>
          </cell>
        </row>
        <row r="65">
          <cell r="A65" t="str">
            <v/>
          </cell>
          <cell r="B65" t="str">
            <v/>
          </cell>
          <cell r="C65" t="str">
            <v/>
          </cell>
          <cell r="D65" t="str">
            <v/>
          </cell>
        </row>
        <row r="66">
          <cell r="A66" t="str">
            <v/>
          </cell>
          <cell r="B66" t="str">
            <v/>
          </cell>
          <cell r="C66" t="str">
            <v/>
          </cell>
          <cell r="D66" t="str">
            <v/>
          </cell>
        </row>
        <row r="67">
          <cell r="A67" t="str">
            <v/>
          </cell>
          <cell r="B67" t="str">
            <v/>
          </cell>
          <cell r="C67" t="str">
            <v/>
          </cell>
          <cell r="D67" t="str">
            <v/>
          </cell>
        </row>
        <row r="68">
          <cell r="A68" t="str">
            <v/>
          </cell>
          <cell r="B68" t="str">
            <v/>
          </cell>
          <cell r="C68" t="str">
            <v/>
          </cell>
          <cell r="D68" t="str">
            <v/>
          </cell>
        </row>
        <row r="69">
          <cell r="A69" t="str">
            <v/>
          </cell>
          <cell r="B69" t="str">
            <v/>
          </cell>
          <cell r="C69" t="str">
            <v/>
          </cell>
          <cell r="D69" t="str">
            <v/>
          </cell>
        </row>
        <row r="70">
          <cell r="A70" t="str">
            <v/>
          </cell>
          <cell r="B70" t="str">
            <v/>
          </cell>
          <cell r="C70" t="str">
            <v/>
          </cell>
          <cell r="D70" t="str">
            <v/>
          </cell>
        </row>
        <row r="71">
          <cell r="A71" t="str">
            <v/>
          </cell>
          <cell r="B71" t="str">
            <v/>
          </cell>
          <cell r="C71" t="str">
            <v/>
          </cell>
          <cell r="D71" t="str">
            <v/>
          </cell>
        </row>
        <row r="72">
          <cell r="A72" t="str">
            <v/>
          </cell>
          <cell r="B72" t="str">
            <v/>
          </cell>
          <cell r="C72" t="str">
            <v/>
          </cell>
          <cell r="D72" t="str">
            <v/>
          </cell>
        </row>
      </sheetData>
      <sheetData sheetId="20">
        <row r="39">
          <cell r="A39">
            <v>2024</v>
          </cell>
          <cell r="B39">
            <v>77953762.984189823</v>
          </cell>
          <cell r="C39">
            <v>20889497.095579218</v>
          </cell>
          <cell r="D39">
            <v>98843260.079769045</v>
          </cell>
        </row>
        <row r="40">
          <cell r="A40">
            <v>2025</v>
          </cell>
          <cell r="B40">
            <v>62891659.968961358</v>
          </cell>
          <cell r="C40">
            <v>48206222.033357821</v>
          </cell>
          <cell r="D40">
            <v>111097882.00231919</v>
          </cell>
        </row>
        <row r="41">
          <cell r="A41">
            <v>2026</v>
          </cell>
          <cell r="B41">
            <v>49769514.637617253</v>
          </cell>
          <cell r="C41">
            <v>45812393.080172479</v>
          </cell>
          <cell r="D41">
            <v>95581907.717789739</v>
          </cell>
        </row>
        <row r="42">
          <cell r="A42">
            <v>2027</v>
          </cell>
          <cell r="B42">
            <v>65575953.591343358</v>
          </cell>
          <cell r="C42">
            <v>42938537.762836598</v>
          </cell>
          <cell r="D42">
            <v>108514491.35417995</v>
          </cell>
        </row>
        <row r="43">
          <cell r="A43">
            <v>2028</v>
          </cell>
          <cell r="B43">
            <v>49779607.855823144</v>
          </cell>
          <cell r="C43">
            <v>40352827.361665606</v>
          </cell>
          <cell r="D43">
            <v>90132435.217488751</v>
          </cell>
        </row>
        <row r="44">
          <cell r="A44">
            <v>2029</v>
          </cell>
          <cell r="B44">
            <v>45906638.902232252</v>
          </cell>
          <cell r="C44">
            <v>37645520.884067461</v>
          </cell>
          <cell r="D44">
            <v>83552159.786299706</v>
          </cell>
        </row>
        <row r="45">
          <cell r="A45">
            <v>2030</v>
          </cell>
          <cell r="B45">
            <v>38877241.040402897</v>
          </cell>
          <cell r="C45">
            <v>36405019.954555877</v>
          </cell>
          <cell r="D45">
            <v>75282260.994958773</v>
          </cell>
        </row>
        <row r="46">
          <cell r="A46">
            <v>2031</v>
          </cell>
          <cell r="B46">
            <v>56699016.315679893</v>
          </cell>
          <cell r="C46">
            <v>34178808.082971759</v>
          </cell>
          <cell r="D46">
            <v>90877824.398651659</v>
          </cell>
        </row>
        <row r="47">
          <cell r="A47">
            <v>2032</v>
          </cell>
          <cell r="B47">
            <v>45196999.46177417</v>
          </cell>
          <cell r="C47">
            <v>31315948.3204941</v>
          </cell>
          <cell r="D47">
            <v>76512947.782268271</v>
          </cell>
        </row>
        <row r="48">
          <cell r="A48">
            <v>2033</v>
          </cell>
          <cell r="B48">
            <v>61780978.087104723</v>
          </cell>
          <cell r="C48">
            <v>28704479.835264675</v>
          </cell>
          <cell r="D48">
            <v>90485457.922369391</v>
          </cell>
        </row>
        <row r="49">
          <cell r="A49">
            <v>2034</v>
          </cell>
          <cell r="B49">
            <v>45432254.972446345</v>
          </cell>
          <cell r="C49">
            <v>23558469.118968971</v>
          </cell>
          <cell r="D49">
            <v>68990724.091415316</v>
          </cell>
        </row>
        <row r="50">
          <cell r="A50">
            <v>2035</v>
          </cell>
          <cell r="B50">
            <v>52580966.663887478</v>
          </cell>
          <cell r="C50">
            <v>20995199.871913612</v>
          </cell>
          <cell r="D50">
            <v>73576166.535801083</v>
          </cell>
        </row>
        <row r="51">
          <cell r="A51">
            <v>2036</v>
          </cell>
          <cell r="B51">
            <v>30663391.927915521</v>
          </cell>
          <cell r="C51">
            <v>17863801.242115118</v>
          </cell>
          <cell r="D51">
            <v>48527193.170030639</v>
          </cell>
        </row>
        <row r="52">
          <cell r="A52">
            <v>2037</v>
          </cell>
          <cell r="B52">
            <v>51748726.596750386</v>
          </cell>
          <cell r="C52">
            <v>16614060.805865459</v>
          </cell>
          <cell r="D52">
            <v>68362787.402615845</v>
          </cell>
        </row>
        <row r="53">
          <cell r="A53">
            <v>2038</v>
          </cell>
          <cell r="B53">
            <v>9517205.2860597391</v>
          </cell>
          <cell r="C53">
            <v>13712788.957299225</v>
          </cell>
          <cell r="D53">
            <v>23229994.243358962</v>
          </cell>
        </row>
        <row r="54">
          <cell r="A54">
            <v>2039</v>
          </cell>
          <cell r="B54">
            <v>5092676.2521942463</v>
          </cell>
          <cell r="C54">
            <v>13585401.953054938</v>
          </cell>
          <cell r="D54">
            <v>18678078.205249183</v>
          </cell>
        </row>
        <row r="55">
          <cell r="A55">
            <v>2040</v>
          </cell>
          <cell r="B55">
            <v>5731867.4058398847</v>
          </cell>
          <cell r="C55">
            <v>13385080.370402297</v>
          </cell>
          <cell r="D55">
            <v>19116947.776242182</v>
          </cell>
        </row>
        <row r="56">
          <cell r="A56">
            <v>2041</v>
          </cell>
          <cell r="B56">
            <v>12132363.153198328</v>
          </cell>
          <cell r="C56">
            <v>12935287.830026649</v>
          </cell>
          <cell r="D56">
            <v>25067650.983224977</v>
          </cell>
        </row>
        <row r="57">
          <cell r="A57">
            <v>2042</v>
          </cell>
          <cell r="B57">
            <v>55525864.132728584</v>
          </cell>
          <cell r="C57">
            <v>12500055.690595338</v>
          </cell>
          <cell r="D57">
            <v>68025919.82332392</v>
          </cell>
        </row>
        <row r="58">
          <cell r="A58">
            <v>2043</v>
          </cell>
          <cell r="B58">
            <v>272081.8441267942</v>
          </cell>
          <cell r="C58">
            <v>7765750.9978534039</v>
          </cell>
          <cell r="D58">
            <v>8037832.8419801984</v>
          </cell>
        </row>
        <row r="59">
          <cell r="A59">
            <v>2044</v>
          </cell>
          <cell r="B59">
            <v>10512682.817763181</v>
          </cell>
          <cell r="C59">
            <v>7530288.7106188172</v>
          </cell>
          <cell r="D59">
            <v>18042971.528382</v>
          </cell>
        </row>
        <row r="60">
          <cell r="A60">
            <v>2045</v>
          </cell>
          <cell r="B60">
            <v>18799052.791276325</v>
          </cell>
          <cell r="C60">
            <v>6824299.8637853321</v>
          </cell>
          <cell r="D60">
            <v>25623352.655061655</v>
          </cell>
        </row>
        <row r="61">
          <cell r="A61">
            <v>2046</v>
          </cell>
          <cell r="B61">
            <v>130484.15841228039</v>
          </cell>
          <cell r="C61">
            <v>6416932.1885402501</v>
          </cell>
          <cell r="D61">
            <v>6547416.3469525306</v>
          </cell>
        </row>
        <row r="62">
          <cell r="A62">
            <v>2047</v>
          </cell>
          <cell r="B62">
            <v>107862.91137890617</v>
          </cell>
          <cell r="C62">
            <v>6478345.7336475328</v>
          </cell>
          <cell r="D62">
            <v>6586208.6450264389</v>
          </cell>
        </row>
        <row r="63">
          <cell r="A63">
            <v>2048</v>
          </cell>
          <cell r="B63">
            <v>107663.50218336975</v>
          </cell>
          <cell r="C63">
            <v>6547011.1737630572</v>
          </cell>
          <cell r="D63">
            <v>6654674.6759464266</v>
          </cell>
        </row>
        <row r="64">
          <cell r="A64">
            <v>2049</v>
          </cell>
          <cell r="B64">
            <v>41364548.15095254</v>
          </cell>
          <cell r="C64">
            <v>6299196.7972237365</v>
          </cell>
          <cell r="D64">
            <v>47663744.94817628</v>
          </cell>
        </row>
        <row r="65">
          <cell r="A65" t="str">
            <v/>
          </cell>
          <cell r="B65" t="str">
            <v/>
          </cell>
          <cell r="C65" t="str">
            <v/>
          </cell>
          <cell r="D65" t="str">
            <v/>
          </cell>
        </row>
        <row r="66">
          <cell r="A66" t="str">
            <v/>
          </cell>
          <cell r="B66" t="str">
            <v/>
          </cell>
          <cell r="C66" t="str">
            <v/>
          </cell>
          <cell r="D66" t="str">
            <v/>
          </cell>
        </row>
        <row r="67">
          <cell r="A67" t="str">
            <v/>
          </cell>
          <cell r="B67" t="str">
            <v/>
          </cell>
          <cell r="C67" t="str">
            <v/>
          </cell>
          <cell r="D67" t="str">
            <v/>
          </cell>
        </row>
        <row r="68">
          <cell r="A68" t="str">
            <v/>
          </cell>
          <cell r="B68" t="str">
            <v/>
          </cell>
          <cell r="C68" t="str">
            <v/>
          </cell>
          <cell r="D68" t="str">
            <v/>
          </cell>
        </row>
        <row r="69">
          <cell r="A69" t="str">
            <v/>
          </cell>
          <cell r="B69" t="str">
            <v/>
          </cell>
          <cell r="C69" t="str">
            <v/>
          </cell>
          <cell r="D69" t="str">
            <v/>
          </cell>
        </row>
        <row r="70">
          <cell r="A70" t="str">
            <v/>
          </cell>
          <cell r="B70" t="str">
            <v/>
          </cell>
          <cell r="C70" t="str">
            <v/>
          </cell>
          <cell r="D70" t="str">
            <v/>
          </cell>
        </row>
        <row r="71">
          <cell r="A71" t="str">
            <v/>
          </cell>
          <cell r="B71" t="str">
            <v/>
          </cell>
          <cell r="C71" t="str">
            <v/>
          </cell>
          <cell r="D71" t="str">
            <v/>
          </cell>
        </row>
        <row r="72">
          <cell r="A72" t="str">
            <v/>
          </cell>
          <cell r="B72" t="str">
            <v/>
          </cell>
          <cell r="C72" t="str">
            <v/>
          </cell>
          <cell r="D72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E43D1-217B-44E7-9AA6-58BE88877785}">
  <sheetPr codeName="Hoja1">
    <tabColor rgb="FFB48C41"/>
    <pageSetUpPr fitToPage="1"/>
  </sheetPr>
  <dimension ref="A1:J280"/>
  <sheetViews>
    <sheetView showGridLines="0" tabSelected="1" zoomScale="59" zoomScaleNormal="59" workbookViewId="0">
      <pane ySplit="3" topLeftCell="A4" activePane="bottomLeft" state="frozen"/>
      <selection activeCell="H302" sqref="H302"/>
      <selection pane="bottomLeft" activeCell="D1" sqref="D1:D1048576"/>
    </sheetView>
  </sheetViews>
  <sheetFormatPr baseColWidth="10" defaultColWidth="0" defaultRowHeight="13.5" x14ac:dyDescent="0.3"/>
  <cols>
    <col min="1" max="1" width="9.81640625" style="19" bestFit="1" customWidth="1"/>
    <col min="2" max="2" width="20.54296875" style="19" bestFit="1" customWidth="1"/>
    <col min="3" max="3" width="18.7265625" style="19" bestFit="1" customWidth="1"/>
    <col min="4" max="4" width="14.81640625" style="19" bestFit="1" customWidth="1"/>
    <col min="5" max="5" width="23.7265625" style="19" bestFit="1" customWidth="1"/>
    <col min="6" max="6" width="18.7265625" style="19" bestFit="1" customWidth="1"/>
    <col min="7" max="7" width="14.81640625" style="19" bestFit="1" customWidth="1"/>
    <col min="8" max="8" width="37.54296875" style="19" bestFit="1" customWidth="1"/>
    <col min="9" max="9" width="18.7265625" style="19" bestFit="1" customWidth="1"/>
    <col min="10" max="10" width="11.453125" style="1" customWidth="1"/>
    <col min="11" max="256" width="0" style="1" hidden="1"/>
    <col min="257" max="257" width="9.81640625" style="1" bestFit="1" customWidth="1"/>
    <col min="258" max="258" width="20.54296875" style="1" bestFit="1" customWidth="1"/>
    <col min="259" max="259" width="18.7265625" style="1" bestFit="1" customWidth="1"/>
    <col min="260" max="260" width="14.81640625" style="1" bestFit="1" customWidth="1"/>
    <col min="261" max="261" width="23.7265625" style="1" bestFit="1" customWidth="1"/>
    <col min="262" max="262" width="18.7265625" style="1" bestFit="1" customWidth="1"/>
    <col min="263" max="263" width="14.81640625" style="1" bestFit="1" customWidth="1"/>
    <col min="264" max="264" width="37.54296875" style="1" bestFit="1" customWidth="1"/>
    <col min="265" max="265" width="18.7265625" style="1" bestFit="1" customWidth="1"/>
    <col min="266" max="266" width="11.453125" style="1" customWidth="1"/>
    <col min="267" max="512" width="0" style="1" hidden="1"/>
    <col min="513" max="513" width="9.81640625" style="1" bestFit="1" customWidth="1"/>
    <col min="514" max="514" width="20.54296875" style="1" bestFit="1" customWidth="1"/>
    <col min="515" max="515" width="18.7265625" style="1" bestFit="1" customWidth="1"/>
    <col min="516" max="516" width="14.81640625" style="1" bestFit="1" customWidth="1"/>
    <col min="517" max="517" width="23.7265625" style="1" bestFit="1" customWidth="1"/>
    <col min="518" max="518" width="18.7265625" style="1" bestFit="1" customWidth="1"/>
    <col min="519" max="519" width="14.81640625" style="1" bestFit="1" customWidth="1"/>
    <col min="520" max="520" width="37.54296875" style="1" bestFit="1" customWidth="1"/>
    <col min="521" max="521" width="18.7265625" style="1" bestFit="1" customWidth="1"/>
    <col min="522" max="522" width="11.453125" style="1" customWidth="1"/>
    <col min="523" max="768" width="0" style="1" hidden="1"/>
    <col min="769" max="769" width="9.81640625" style="1" bestFit="1" customWidth="1"/>
    <col min="770" max="770" width="20.54296875" style="1" bestFit="1" customWidth="1"/>
    <col min="771" max="771" width="18.7265625" style="1" bestFit="1" customWidth="1"/>
    <col min="772" max="772" width="14.81640625" style="1" bestFit="1" customWidth="1"/>
    <col min="773" max="773" width="23.7265625" style="1" bestFit="1" customWidth="1"/>
    <col min="774" max="774" width="18.7265625" style="1" bestFit="1" customWidth="1"/>
    <col min="775" max="775" width="14.81640625" style="1" bestFit="1" customWidth="1"/>
    <col min="776" max="776" width="37.54296875" style="1" bestFit="1" customWidth="1"/>
    <col min="777" max="777" width="18.7265625" style="1" bestFit="1" customWidth="1"/>
    <col min="778" max="778" width="11.453125" style="1" customWidth="1"/>
    <col min="779" max="1024" width="0" style="1" hidden="1"/>
    <col min="1025" max="1025" width="9.81640625" style="1" bestFit="1" customWidth="1"/>
    <col min="1026" max="1026" width="20.54296875" style="1" bestFit="1" customWidth="1"/>
    <col min="1027" max="1027" width="18.7265625" style="1" bestFit="1" customWidth="1"/>
    <col min="1028" max="1028" width="14.81640625" style="1" bestFit="1" customWidth="1"/>
    <col min="1029" max="1029" width="23.7265625" style="1" bestFit="1" customWidth="1"/>
    <col min="1030" max="1030" width="18.7265625" style="1" bestFit="1" customWidth="1"/>
    <col min="1031" max="1031" width="14.81640625" style="1" bestFit="1" customWidth="1"/>
    <col min="1032" max="1032" width="37.54296875" style="1" bestFit="1" customWidth="1"/>
    <col min="1033" max="1033" width="18.7265625" style="1" bestFit="1" customWidth="1"/>
    <col min="1034" max="1034" width="11.453125" style="1" customWidth="1"/>
    <col min="1035" max="1280" width="0" style="1" hidden="1"/>
    <col min="1281" max="1281" width="9.81640625" style="1" bestFit="1" customWidth="1"/>
    <col min="1282" max="1282" width="20.54296875" style="1" bestFit="1" customWidth="1"/>
    <col min="1283" max="1283" width="18.7265625" style="1" bestFit="1" customWidth="1"/>
    <col min="1284" max="1284" width="14.81640625" style="1" bestFit="1" customWidth="1"/>
    <col min="1285" max="1285" width="23.7265625" style="1" bestFit="1" customWidth="1"/>
    <col min="1286" max="1286" width="18.7265625" style="1" bestFit="1" customWidth="1"/>
    <col min="1287" max="1287" width="14.81640625" style="1" bestFit="1" customWidth="1"/>
    <col min="1288" max="1288" width="37.54296875" style="1" bestFit="1" customWidth="1"/>
    <col min="1289" max="1289" width="18.7265625" style="1" bestFit="1" customWidth="1"/>
    <col min="1290" max="1290" width="11.453125" style="1" customWidth="1"/>
    <col min="1291" max="1536" width="0" style="1" hidden="1"/>
    <col min="1537" max="1537" width="9.81640625" style="1" bestFit="1" customWidth="1"/>
    <col min="1538" max="1538" width="20.54296875" style="1" bestFit="1" customWidth="1"/>
    <col min="1539" max="1539" width="18.7265625" style="1" bestFit="1" customWidth="1"/>
    <col min="1540" max="1540" width="14.81640625" style="1" bestFit="1" customWidth="1"/>
    <col min="1541" max="1541" width="23.7265625" style="1" bestFit="1" customWidth="1"/>
    <col min="1542" max="1542" width="18.7265625" style="1" bestFit="1" customWidth="1"/>
    <col min="1543" max="1543" width="14.81640625" style="1" bestFit="1" customWidth="1"/>
    <col min="1544" max="1544" width="37.54296875" style="1" bestFit="1" customWidth="1"/>
    <col min="1545" max="1545" width="18.7265625" style="1" bestFit="1" customWidth="1"/>
    <col min="1546" max="1546" width="11.453125" style="1" customWidth="1"/>
    <col min="1547" max="1792" width="0" style="1" hidden="1"/>
    <col min="1793" max="1793" width="9.81640625" style="1" bestFit="1" customWidth="1"/>
    <col min="1794" max="1794" width="20.54296875" style="1" bestFit="1" customWidth="1"/>
    <col min="1795" max="1795" width="18.7265625" style="1" bestFit="1" customWidth="1"/>
    <col min="1796" max="1796" width="14.81640625" style="1" bestFit="1" customWidth="1"/>
    <col min="1797" max="1797" width="23.7265625" style="1" bestFit="1" customWidth="1"/>
    <col min="1798" max="1798" width="18.7265625" style="1" bestFit="1" customWidth="1"/>
    <col min="1799" max="1799" width="14.81640625" style="1" bestFit="1" customWidth="1"/>
    <col min="1800" max="1800" width="37.54296875" style="1" bestFit="1" customWidth="1"/>
    <col min="1801" max="1801" width="18.7265625" style="1" bestFit="1" customWidth="1"/>
    <col min="1802" max="1802" width="11.453125" style="1" customWidth="1"/>
    <col min="1803" max="2048" width="0" style="1" hidden="1"/>
    <col min="2049" max="2049" width="9.81640625" style="1" bestFit="1" customWidth="1"/>
    <col min="2050" max="2050" width="20.54296875" style="1" bestFit="1" customWidth="1"/>
    <col min="2051" max="2051" width="18.7265625" style="1" bestFit="1" customWidth="1"/>
    <col min="2052" max="2052" width="14.81640625" style="1" bestFit="1" customWidth="1"/>
    <col min="2053" max="2053" width="23.7265625" style="1" bestFit="1" customWidth="1"/>
    <col min="2054" max="2054" width="18.7265625" style="1" bestFit="1" customWidth="1"/>
    <col min="2055" max="2055" width="14.81640625" style="1" bestFit="1" customWidth="1"/>
    <col min="2056" max="2056" width="37.54296875" style="1" bestFit="1" customWidth="1"/>
    <col min="2057" max="2057" width="18.7265625" style="1" bestFit="1" customWidth="1"/>
    <col min="2058" max="2058" width="11.453125" style="1" customWidth="1"/>
    <col min="2059" max="2304" width="0" style="1" hidden="1"/>
    <col min="2305" max="2305" width="9.81640625" style="1" bestFit="1" customWidth="1"/>
    <col min="2306" max="2306" width="20.54296875" style="1" bestFit="1" customWidth="1"/>
    <col min="2307" max="2307" width="18.7265625" style="1" bestFit="1" customWidth="1"/>
    <col min="2308" max="2308" width="14.81640625" style="1" bestFit="1" customWidth="1"/>
    <col min="2309" max="2309" width="23.7265625" style="1" bestFit="1" customWidth="1"/>
    <col min="2310" max="2310" width="18.7265625" style="1" bestFit="1" customWidth="1"/>
    <col min="2311" max="2311" width="14.81640625" style="1" bestFit="1" customWidth="1"/>
    <col min="2312" max="2312" width="37.54296875" style="1" bestFit="1" customWidth="1"/>
    <col min="2313" max="2313" width="18.7265625" style="1" bestFit="1" customWidth="1"/>
    <col min="2314" max="2314" width="11.453125" style="1" customWidth="1"/>
    <col min="2315" max="2560" width="0" style="1" hidden="1"/>
    <col min="2561" max="2561" width="9.81640625" style="1" bestFit="1" customWidth="1"/>
    <col min="2562" max="2562" width="20.54296875" style="1" bestFit="1" customWidth="1"/>
    <col min="2563" max="2563" width="18.7265625" style="1" bestFit="1" customWidth="1"/>
    <col min="2564" max="2564" width="14.81640625" style="1" bestFit="1" customWidth="1"/>
    <col min="2565" max="2565" width="23.7265625" style="1" bestFit="1" customWidth="1"/>
    <col min="2566" max="2566" width="18.7265625" style="1" bestFit="1" customWidth="1"/>
    <col min="2567" max="2567" width="14.81640625" style="1" bestFit="1" customWidth="1"/>
    <col min="2568" max="2568" width="37.54296875" style="1" bestFit="1" customWidth="1"/>
    <col min="2569" max="2569" width="18.7265625" style="1" bestFit="1" customWidth="1"/>
    <col min="2570" max="2570" width="11.453125" style="1" customWidth="1"/>
    <col min="2571" max="2816" width="0" style="1" hidden="1"/>
    <col min="2817" max="2817" width="9.81640625" style="1" bestFit="1" customWidth="1"/>
    <col min="2818" max="2818" width="20.54296875" style="1" bestFit="1" customWidth="1"/>
    <col min="2819" max="2819" width="18.7265625" style="1" bestFit="1" customWidth="1"/>
    <col min="2820" max="2820" width="14.81640625" style="1" bestFit="1" customWidth="1"/>
    <col min="2821" max="2821" width="23.7265625" style="1" bestFit="1" customWidth="1"/>
    <col min="2822" max="2822" width="18.7265625" style="1" bestFit="1" customWidth="1"/>
    <col min="2823" max="2823" width="14.81640625" style="1" bestFit="1" customWidth="1"/>
    <col min="2824" max="2824" width="37.54296875" style="1" bestFit="1" customWidth="1"/>
    <col min="2825" max="2825" width="18.7265625" style="1" bestFit="1" customWidth="1"/>
    <col min="2826" max="2826" width="11.453125" style="1" customWidth="1"/>
    <col min="2827" max="3072" width="0" style="1" hidden="1"/>
    <col min="3073" max="3073" width="9.81640625" style="1" bestFit="1" customWidth="1"/>
    <col min="3074" max="3074" width="20.54296875" style="1" bestFit="1" customWidth="1"/>
    <col min="3075" max="3075" width="18.7265625" style="1" bestFit="1" customWidth="1"/>
    <col min="3076" max="3076" width="14.81640625" style="1" bestFit="1" customWidth="1"/>
    <col min="3077" max="3077" width="23.7265625" style="1" bestFit="1" customWidth="1"/>
    <col min="3078" max="3078" width="18.7265625" style="1" bestFit="1" customWidth="1"/>
    <col min="3079" max="3079" width="14.81640625" style="1" bestFit="1" customWidth="1"/>
    <col min="3080" max="3080" width="37.54296875" style="1" bestFit="1" customWidth="1"/>
    <col min="3081" max="3081" width="18.7265625" style="1" bestFit="1" customWidth="1"/>
    <col min="3082" max="3082" width="11.453125" style="1" customWidth="1"/>
    <col min="3083" max="3328" width="0" style="1" hidden="1"/>
    <col min="3329" max="3329" width="9.81640625" style="1" bestFit="1" customWidth="1"/>
    <col min="3330" max="3330" width="20.54296875" style="1" bestFit="1" customWidth="1"/>
    <col min="3331" max="3331" width="18.7265625" style="1" bestFit="1" customWidth="1"/>
    <col min="3332" max="3332" width="14.81640625" style="1" bestFit="1" customWidth="1"/>
    <col min="3333" max="3333" width="23.7265625" style="1" bestFit="1" customWidth="1"/>
    <col min="3334" max="3334" width="18.7265625" style="1" bestFit="1" customWidth="1"/>
    <col min="3335" max="3335" width="14.81640625" style="1" bestFit="1" customWidth="1"/>
    <col min="3336" max="3336" width="37.54296875" style="1" bestFit="1" customWidth="1"/>
    <col min="3337" max="3337" width="18.7265625" style="1" bestFit="1" customWidth="1"/>
    <col min="3338" max="3338" width="11.453125" style="1" customWidth="1"/>
    <col min="3339" max="3584" width="0" style="1" hidden="1"/>
    <col min="3585" max="3585" width="9.81640625" style="1" bestFit="1" customWidth="1"/>
    <col min="3586" max="3586" width="20.54296875" style="1" bestFit="1" customWidth="1"/>
    <col min="3587" max="3587" width="18.7265625" style="1" bestFit="1" customWidth="1"/>
    <col min="3588" max="3588" width="14.81640625" style="1" bestFit="1" customWidth="1"/>
    <col min="3589" max="3589" width="23.7265625" style="1" bestFit="1" customWidth="1"/>
    <col min="3590" max="3590" width="18.7265625" style="1" bestFit="1" customWidth="1"/>
    <col min="3591" max="3591" width="14.81640625" style="1" bestFit="1" customWidth="1"/>
    <col min="3592" max="3592" width="37.54296875" style="1" bestFit="1" customWidth="1"/>
    <col min="3593" max="3593" width="18.7265625" style="1" bestFit="1" customWidth="1"/>
    <col min="3594" max="3594" width="11.453125" style="1" customWidth="1"/>
    <col min="3595" max="3840" width="0" style="1" hidden="1"/>
    <col min="3841" max="3841" width="9.81640625" style="1" bestFit="1" customWidth="1"/>
    <col min="3842" max="3842" width="20.54296875" style="1" bestFit="1" customWidth="1"/>
    <col min="3843" max="3843" width="18.7265625" style="1" bestFit="1" customWidth="1"/>
    <col min="3844" max="3844" width="14.81640625" style="1" bestFit="1" customWidth="1"/>
    <col min="3845" max="3845" width="23.7265625" style="1" bestFit="1" customWidth="1"/>
    <col min="3846" max="3846" width="18.7265625" style="1" bestFit="1" customWidth="1"/>
    <col min="3847" max="3847" width="14.81640625" style="1" bestFit="1" customWidth="1"/>
    <col min="3848" max="3848" width="37.54296875" style="1" bestFit="1" customWidth="1"/>
    <col min="3849" max="3849" width="18.7265625" style="1" bestFit="1" customWidth="1"/>
    <col min="3850" max="3850" width="11.453125" style="1" customWidth="1"/>
    <col min="3851" max="4096" width="0" style="1" hidden="1"/>
    <col min="4097" max="4097" width="9.81640625" style="1" bestFit="1" customWidth="1"/>
    <col min="4098" max="4098" width="20.54296875" style="1" bestFit="1" customWidth="1"/>
    <col min="4099" max="4099" width="18.7265625" style="1" bestFit="1" customWidth="1"/>
    <col min="4100" max="4100" width="14.81640625" style="1" bestFit="1" customWidth="1"/>
    <col min="4101" max="4101" width="23.7265625" style="1" bestFit="1" customWidth="1"/>
    <col min="4102" max="4102" width="18.7265625" style="1" bestFit="1" customWidth="1"/>
    <col min="4103" max="4103" width="14.81640625" style="1" bestFit="1" customWidth="1"/>
    <col min="4104" max="4104" width="37.54296875" style="1" bestFit="1" customWidth="1"/>
    <col min="4105" max="4105" width="18.7265625" style="1" bestFit="1" customWidth="1"/>
    <col min="4106" max="4106" width="11.453125" style="1" customWidth="1"/>
    <col min="4107" max="4352" width="0" style="1" hidden="1"/>
    <col min="4353" max="4353" width="9.81640625" style="1" bestFit="1" customWidth="1"/>
    <col min="4354" max="4354" width="20.54296875" style="1" bestFit="1" customWidth="1"/>
    <col min="4355" max="4355" width="18.7265625" style="1" bestFit="1" customWidth="1"/>
    <col min="4356" max="4356" width="14.81640625" style="1" bestFit="1" customWidth="1"/>
    <col min="4357" max="4357" width="23.7265625" style="1" bestFit="1" customWidth="1"/>
    <col min="4358" max="4358" width="18.7265625" style="1" bestFit="1" customWidth="1"/>
    <col min="4359" max="4359" width="14.81640625" style="1" bestFit="1" customWidth="1"/>
    <col min="4360" max="4360" width="37.54296875" style="1" bestFit="1" customWidth="1"/>
    <col min="4361" max="4361" width="18.7265625" style="1" bestFit="1" customWidth="1"/>
    <col min="4362" max="4362" width="11.453125" style="1" customWidth="1"/>
    <col min="4363" max="4608" width="0" style="1" hidden="1"/>
    <col min="4609" max="4609" width="9.81640625" style="1" bestFit="1" customWidth="1"/>
    <col min="4610" max="4610" width="20.54296875" style="1" bestFit="1" customWidth="1"/>
    <col min="4611" max="4611" width="18.7265625" style="1" bestFit="1" customWidth="1"/>
    <col min="4612" max="4612" width="14.81640625" style="1" bestFit="1" customWidth="1"/>
    <col min="4613" max="4613" width="23.7265625" style="1" bestFit="1" customWidth="1"/>
    <col min="4614" max="4614" width="18.7265625" style="1" bestFit="1" customWidth="1"/>
    <col min="4615" max="4615" width="14.81640625" style="1" bestFit="1" customWidth="1"/>
    <col min="4616" max="4616" width="37.54296875" style="1" bestFit="1" customWidth="1"/>
    <col min="4617" max="4617" width="18.7265625" style="1" bestFit="1" customWidth="1"/>
    <col min="4618" max="4618" width="11.453125" style="1" customWidth="1"/>
    <col min="4619" max="4864" width="0" style="1" hidden="1"/>
    <col min="4865" max="4865" width="9.81640625" style="1" bestFit="1" customWidth="1"/>
    <col min="4866" max="4866" width="20.54296875" style="1" bestFit="1" customWidth="1"/>
    <col min="4867" max="4867" width="18.7265625" style="1" bestFit="1" customWidth="1"/>
    <col min="4868" max="4868" width="14.81640625" style="1" bestFit="1" customWidth="1"/>
    <col min="4869" max="4869" width="23.7265625" style="1" bestFit="1" customWidth="1"/>
    <col min="4870" max="4870" width="18.7265625" style="1" bestFit="1" customWidth="1"/>
    <col min="4871" max="4871" width="14.81640625" style="1" bestFit="1" customWidth="1"/>
    <col min="4872" max="4872" width="37.54296875" style="1" bestFit="1" customWidth="1"/>
    <col min="4873" max="4873" width="18.7265625" style="1" bestFit="1" customWidth="1"/>
    <col min="4874" max="4874" width="11.453125" style="1" customWidth="1"/>
    <col min="4875" max="5120" width="0" style="1" hidden="1"/>
    <col min="5121" max="5121" width="9.81640625" style="1" bestFit="1" customWidth="1"/>
    <col min="5122" max="5122" width="20.54296875" style="1" bestFit="1" customWidth="1"/>
    <col min="5123" max="5123" width="18.7265625" style="1" bestFit="1" customWidth="1"/>
    <col min="5124" max="5124" width="14.81640625" style="1" bestFit="1" customWidth="1"/>
    <col min="5125" max="5125" width="23.7265625" style="1" bestFit="1" customWidth="1"/>
    <col min="5126" max="5126" width="18.7265625" style="1" bestFit="1" customWidth="1"/>
    <col min="5127" max="5127" width="14.81640625" style="1" bestFit="1" customWidth="1"/>
    <col min="5128" max="5128" width="37.54296875" style="1" bestFit="1" customWidth="1"/>
    <col min="5129" max="5129" width="18.7265625" style="1" bestFit="1" customWidth="1"/>
    <col min="5130" max="5130" width="11.453125" style="1" customWidth="1"/>
    <col min="5131" max="5376" width="0" style="1" hidden="1"/>
    <col min="5377" max="5377" width="9.81640625" style="1" bestFit="1" customWidth="1"/>
    <col min="5378" max="5378" width="20.54296875" style="1" bestFit="1" customWidth="1"/>
    <col min="5379" max="5379" width="18.7265625" style="1" bestFit="1" customWidth="1"/>
    <col min="5380" max="5380" width="14.81640625" style="1" bestFit="1" customWidth="1"/>
    <col min="5381" max="5381" width="23.7265625" style="1" bestFit="1" customWidth="1"/>
    <col min="5382" max="5382" width="18.7265625" style="1" bestFit="1" customWidth="1"/>
    <col min="5383" max="5383" width="14.81640625" style="1" bestFit="1" customWidth="1"/>
    <col min="5384" max="5384" width="37.54296875" style="1" bestFit="1" customWidth="1"/>
    <col min="5385" max="5385" width="18.7265625" style="1" bestFit="1" customWidth="1"/>
    <col min="5386" max="5386" width="11.453125" style="1" customWidth="1"/>
    <col min="5387" max="5632" width="0" style="1" hidden="1"/>
    <col min="5633" max="5633" width="9.81640625" style="1" bestFit="1" customWidth="1"/>
    <col min="5634" max="5634" width="20.54296875" style="1" bestFit="1" customWidth="1"/>
    <col min="5635" max="5635" width="18.7265625" style="1" bestFit="1" customWidth="1"/>
    <col min="5636" max="5636" width="14.81640625" style="1" bestFit="1" customWidth="1"/>
    <col min="5637" max="5637" width="23.7265625" style="1" bestFit="1" customWidth="1"/>
    <col min="5638" max="5638" width="18.7265625" style="1" bestFit="1" customWidth="1"/>
    <col min="5639" max="5639" width="14.81640625" style="1" bestFit="1" customWidth="1"/>
    <col min="5640" max="5640" width="37.54296875" style="1" bestFit="1" customWidth="1"/>
    <col min="5641" max="5641" width="18.7265625" style="1" bestFit="1" customWidth="1"/>
    <col min="5642" max="5642" width="11.453125" style="1" customWidth="1"/>
    <col min="5643" max="5888" width="0" style="1" hidden="1"/>
    <col min="5889" max="5889" width="9.81640625" style="1" bestFit="1" customWidth="1"/>
    <col min="5890" max="5890" width="20.54296875" style="1" bestFit="1" customWidth="1"/>
    <col min="5891" max="5891" width="18.7265625" style="1" bestFit="1" customWidth="1"/>
    <col min="5892" max="5892" width="14.81640625" style="1" bestFit="1" customWidth="1"/>
    <col min="5893" max="5893" width="23.7265625" style="1" bestFit="1" customWidth="1"/>
    <col min="5894" max="5894" width="18.7265625" style="1" bestFit="1" customWidth="1"/>
    <col min="5895" max="5895" width="14.81640625" style="1" bestFit="1" customWidth="1"/>
    <col min="5896" max="5896" width="37.54296875" style="1" bestFit="1" customWidth="1"/>
    <col min="5897" max="5897" width="18.7265625" style="1" bestFit="1" customWidth="1"/>
    <col min="5898" max="5898" width="11.453125" style="1" customWidth="1"/>
    <col min="5899" max="6144" width="0" style="1" hidden="1"/>
    <col min="6145" max="6145" width="9.81640625" style="1" bestFit="1" customWidth="1"/>
    <col min="6146" max="6146" width="20.54296875" style="1" bestFit="1" customWidth="1"/>
    <col min="6147" max="6147" width="18.7265625" style="1" bestFit="1" customWidth="1"/>
    <col min="6148" max="6148" width="14.81640625" style="1" bestFit="1" customWidth="1"/>
    <col min="6149" max="6149" width="23.7265625" style="1" bestFit="1" customWidth="1"/>
    <col min="6150" max="6150" width="18.7265625" style="1" bestFit="1" customWidth="1"/>
    <col min="6151" max="6151" width="14.81640625" style="1" bestFit="1" customWidth="1"/>
    <col min="6152" max="6152" width="37.54296875" style="1" bestFit="1" customWidth="1"/>
    <col min="6153" max="6153" width="18.7265625" style="1" bestFit="1" customWidth="1"/>
    <col min="6154" max="6154" width="11.453125" style="1" customWidth="1"/>
    <col min="6155" max="6400" width="0" style="1" hidden="1"/>
    <col min="6401" max="6401" width="9.81640625" style="1" bestFit="1" customWidth="1"/>
    <col min="6402" max="6402" width="20.54296875" style="1" bestFit="1" customWidth="1"/>
    <col min="6403" max="6403" width="18.7265625" style="1" bestFit="1" customWidth="1"/>
    <col min="6404" max="6404" width="14.81640625" style="1" bestFit="1" customWidth="1"/>
    <col min="6405" max="6405" width="23.7265625" style="1" bestFit="1" customWidth="1"/>
    <col min="6406" max="6406" width="18.7265625" style="1" bestFit="1" customWidth="1"/>
    <col min="6407" max="6407" width="14.81640625" style="1" bestFit="1" customWidth="1"/>
    <col min="6408" max="6408" width="37.54296875" style="1" bestFit="1" customWidth="1"/>
    <col min="6409" max="6409" width="18.7265625" style="1" bestFit="1" customWidth="1"/>
    <col min="6410" max="6410" width="11.453125" style="1" customWidth="1"/>
    <col min="6411" max="6656" width="0" style="1" hidden="1"/>
    <col min="6657" max="6657" width="9.81640625" style="1" bestFit="1" customWidth="1"/>
    <col min="6658" max="6658" width="20.54296875" style="1" bestFit="1" customWidth="1"/>
    <col min="6659" max="6659" width="18.7265625" style="1" bestFit="1" customWidth="1"/>
    <col min="6660" max="6660" width="14.81640625" style="1" bestFit="1" customWidth="1"/>
    <col min="6661" max="6661" width="23.7265625" style="1" bestFit="1" customWidth="1"/>
    <col min="6662" max="6662" width="18.7265625" style="1" bestFit="1" customWidth="1"/>
    <col min="6663" max="6663" width="14.81640625" style="1" bestFit="1" customWidth="1"/>
    <col min="6664" max="6664" width="37.54296875" style="1" bestFit="1" customWidth="1"/>
    <col min="6665" max="6665" width="18.7265625" style="1" bestFit="1" customWidth="1"/>
    <col min="6666" max="6666" width="11.453125" style="1" customWidth="1"/>
    <col min="6667" max="6912" width="0" style="1" hidden="1"/>
    <col min="6913" max="6913" width="9.81640625" style="1" bestFit="1" customWidth="1"/>
    <col min="6914" max="6914" width="20.54296875" style="1" bestFit="1" customWidth="1"/>
    <col min="6915" max="6915" width="18.7265625" style="1" bestFit="1" customWidth="1"/>
    <col min="6916" max="6916" width="14.81640625" style="1" bestFit="1" customWidth="1"/>
    <col min="6917" max="6917" width="23.7265625" style="1" bestFit="1" customWidth="1"/>
    <col min="6918" max="6918" width="18.7265625" style="1" bestFit="1" customWidth="1"/>
    <col min="6919" max="6919" width="14.81640625" style="1" bestFit="1" customWidth="1"/>
    <col min="6920" max="6920" width="37.54296875" style="1" bestFit="1" customWidth="1"/>
    <col min="6921" max="6921" width="18.7265625" style="1" bestFit="1" customWidth="1"/>
    <col min="6922" max="6922" width="11.453125" style="1" customWidth="1"/>
    <col min="6923" max="7168" width="0" style="1" hidden="1"/>
    <col min="7169" max="7169" width="9.81640625" style="1" bestFit="1" customWidth="1"/>
    <col min="7170" max="7170" width="20.54296875" style="1" bestFit="1" customWidth="1"/>
    <col min="7171" max="7171" width="18.7265625" style="1" bestFit="1" customWidth="1"/>
    <col min="7172" max="7172" width="14.81640625" style="1" bestFit="1" customWidth="1"/>
    <col min="7173" max="7173" width="23.7265625" style="1" bestFit="1" customWidth="1"/>
    <col min="7174" max="7174" width="18.7265625" style="1" bestFit="1" customWidth="1"/>
    <col min="7175" max="7175" width="14.81640625" style="1" bestFit="1" customWidth="1"/>
    <col min="7176" max="7176" width="37.54296875" style="1" bestFit="1" customWidth="1"/>
    <col min="7177" max="7177" width="18.7265625" style="1" bestFit="1" customWidth="1"/>
    <col min="7178" max="7178" width="11.453125" style="1" customWidth="1"/>
    <col min="7179" max="7424" width="0" style="1" hidden="1"/>
    <col min="7425" max="7425" width="9.81640625" style="1" bestFit="1" customWidth="1"/>
    <col min="7426" max="7426" width="20.54296875" style="1" bestFit="1" customWidth="1"/>
    <col min="7427" max="7427" width="18.7265625" style="1" bestFit="1" customWidth="1"/>
    <col min="7428" max="7428" width="14.81640625" style="1" bestFit="1" customWidth="1"/>
    <col min="7429" max="7429" width="23.7265625" style="1" bestFit="1" customWidth="1"/>
    <col min="7430" max="7430" width="18.7265625" style="1" bestFit="1" customWidth="1"/>
    <col min="7431" max="7431" width="14.81640625" style="1" bestFit="1" customWidth="1"/>
    <col min="7432" max="7432" width="37.54296875" style="1" bestFit="1" customWidth="1"/>
    <col min="7433" max="7433" width="18.7265625" style="1" bestFit="1" customWidth="1"/>
    <col min="7434" max="7434" width="11.453125" style="1" customWidth="1"/>
    <col min="7435" max="7680" width="0" style="1" hidden="1"/>
    <col min="7681" max="7681" width="9.81640625" style="1" bestFit="1" customWidth="1"/>
    <col min="7682" max="7682" width="20.54296875" style="1" bestFit="1" customWidth="1"/>
    <col min="7683" max="7683" width="18.7265625" style="1" bestFit="1" customWidth="1"/>
    <col min="7684" max="7684" width="14.81640625" style="1" bestFit="1" customWidth="1"/>
    <col min="7685" max="7685" width="23.7265625" style="1" bestFit="1" customWidth="1"/>
    <col min="7686" max="7686" width="18.7265625" style="1" bestFit="1" customWidth="1"/>
    <col min="7687" max="7687" width="14.81640625" style="1" bestFit="1" customWidth="1"/>
    <col min="7688" max="7688" width="37.54296875" style="1" bestFit="1" customWidth="1"/>
    <col min="7689" max="7689" width="18.7265625" style="1" bestFit="1" customWidth="1"/>
    <col min="7690" max="7690" width="11.453125" style="1" customWidth="1"/>
    <col min="7691" max="7936" width="0" style="1" hidden="1"/>
    <col min="7937" max="7937" width="9.81640625" style="1" bestFit="1" customWidth="1"/>
    <col min="7938" max="7938" width="20.54296875" style="1" bestFit="1" customWidth="1"/>
    <col min="7939" max="7939" width="18.7265625" style="1" bestFit="1" customWidth="1"/>
    <col min="7940" max="7940" width="14.81640625" style="1" bestFit="1" customWidth="1"/>
    <col min="7941" max="7941" width="23.7265625" style="1" bestFit="1" customWidth="1"/>
    <col min="7942" max="7942" width="18.7265625" style="1" bestFit="1" customWidth="1"/>
    <col min="7943" max="7943" width="14.81640625" style="1" bestFit="1" customWidth="1"/>
    <col min="7944" max="7944" width="37.54296875" style="1" bestFit="1" customWidth="1"/>
    <col min="7945" max="7945" width="18.7265625" style="1" bestFit="1" customWidth="1"/>
    <col min="7946" max="7946" width="11.453125" style="1" customWidth="1"/>
    <col min="7947" max="8192" width="0" style="1" hidden="1"/>
    <col min="8193" max="8193" width="9.81640625" style="1" bestFit="1" customWidth="1"/>
    <col min="8194" max="8194" width="20.54296875" style="1" bestFit="1" customWidth="1"/>
    <col min="8195" max="8195" width="18.7265625" style="1" bestFit="1" customWidth="1"/>
    <col min="8196" max="8196" width="14.81640625" style="1" bestFit="1" customWidth="1"/>
    <col min="8197" max="8197" width="23.7265625" style="1" bestFit="1" customWidth="1"/>
    <col min="8198" max="8198" width="18.7265625" style="1" bestFit="1" customWidth="1"/>
    <col min="8199" max="8199" width="14.81640625" style="1" bestFit="1" customWidth="1"/>
    <col min="8200" max="8200" width="37.54296875" style="1" bestFit="1" customWidth="1"/>
    <col min="8201" max="8201" width="18.7265625" style="1" bestFit="1" customWidth="1"/>
    <col min="8202" max="8202" width="11.453125" style="1" customWidth="1"/>
    <col min="8203" max="8448" width="0" style="1" hidden="1"/>
    <col min="8449" max="8449" width="9.81640625" style="1" bestFit="1" customWidth="1"/>
    <col min="8450" max="8450" width="20.54296875" style="1" bestFit="1" customWidth="1"/>
    <col min="8451" max="8451" width="18.7265625" style="1" bestFit="1" customWidth="1"/>
    <col min="8452" max="8452" width="14.81640625" style="1" bestFit="1" customWidth="1"/>
    <col min="8453" max="8453" width="23.7265625" style="1" bestFit="1" customWidth="1"/>
    <col min="8454" max="8454" width="18.7265625" style="1" bestFit="1" customWidth="1"/>
    <col min="8455" max="8455" width="14.81640625" style="1" bestFit="1" customWidth="1"/>
    <col min="8456" max="8456" width="37.54296875" style="1" bestFit="1" customWidth="1"/>
    <col min="8457" max="8457" width="18.7265625" style="1" bestFit="1" customWidth="1"/>
    <col min="8458" max="8458" width="11.453125" style="1" customWidth="1"/>
    <col min="8459" max="8704" width="0" style="1" hidden="1"/>
    <col min="8705" max="8705" width="9.81640625" style="1" bestFit="1" customWidth="1"/>
    <col min="8706" max="8706" width="20.54296875" style="1" bestFit="1" customWidth="1"/>
    <col min="8707" max="8707" width="18.7265625" style="1" bestFit="1" customWidth="1"/>
    <col min="8708" max="8708" width="14.81640625" style="1" bestFit="1" customWidth="1"/>
    <col min="8709" max="8709" width="23.7265625" style="1" bestFit="1" customWidth="1"/>
    <col min="8710" max="8710" width="18.7265625" style="1" bestFit="1" customWidth="1"/>
    <col min="8711" max="8711" width="14.81640625" style="1" bestFit="1" customWidth="1"/>
    <col min="8712" max="8712" width="37.54296875" style="1" bestFit="1" customWidth="1"/>
    <col min="8713" max="8713" width="18.7265625" style="1" bestFit="1" customWidth="1"/>
    <col min="8714" max="8714" width="11.453125" style="1" customWidth="1"/>
    <col min="8715" max="8960" width="0" style="1" hidden="1"/>
    <col min="8961" max="8961" width="9.81640625" style="1" bestFit="1" customWidth="1"/>
    <col min="8962" max="8962" width="20.54296875" style="1" bestFit="1" customWidth="1"/>
    <col min="8963" max="8963" width="18.7265625" style="1" bestFit="1" customWidth="1"/>
    <col min="8964" max="8964" width="14.81640625" style="1" bestFit="1" customWidth="1"/>
    <col min="8965" max="8965" width="23.7265625" style="1" bestFit="1" customWidth="1"/>
    <col min="8966" max="8966" width="18.7265625" style="1" bestFit="1" customWidth="1"/>
    <col min="8967" max="8967" width="14.81640625" style="1" bestFit="1" customWidth="1"/>
    <col min="8968" max="8968" width="37.54296875" style="1" bestFit="1" customWidth="1"/>
    <col min="8969" max="8969" width="18.7265625" style="1" bestFit="1" customWidth="1"/>
    <col min="8970" max="8970" width="11.453125" style="1" customWidth="1"/>
    <col min="8971" max="9216" width="0" style="1" hidden="1"/>
    <col min="9217" max="9217" width="9.81640625" style="1" bestFit="1" customWidth="1"/>
    <col min="9218" max="9218" width="20.54296875" style="1" bestFit="1" customWidth="1"/>
    <col min="9219" max="9219" width="18.7265625" style="1" bestFit="1" customWidth="1"/>
    <col min="9220" max="9220" width="14.81640625" style="1" bestFit="1" customWidth="1"/>
    <col min="9221" max="9221" width="23.7265625" style="1" bestFit="1" customWidth="1"/>
    <col min="9222" max="9222" width="18.7265625" style="1" bestFit="1" customWidth="1"/>
    <col min="9223" max="9223" width="14.81640625" style="1" bestFit="1" customWidth="1"/>
    <col min="9224" max="9224" width="37.54296875" style="1" bestFit="1" customWidth="1"/>
    <col min="9225" max="9225" width="18.7265625" style="1" bestFit="1" customWidth="1"/>
    <col min="9226" max="9226" width="11.453125" style="1" customWidth="1"/>
    <col min="9227" max="9472" width="0" style="1" hidden="1"/>
    <col min="9473" max="9473" width="9.81640625" style="1" bestFit="1" customWidth="1"/>
    <col min="9474" max="9474" width="20.54296875" style="1" bestFit="1" customWidth="1"/>
    <col min="9475" max="9475" width="18.7265625" style="1" bestFit="1" customWidth="1"/>
    <col min="9476" max="9476" width="14.81640625" style="1" bestFit="1" customWidth="1"/>
    <col min="9477" max="9477" width="23.7265625" style="1" bestFit="1" customWidth="1"/>
    <col min="9478" max="9478" width="18.7265625" style="1" bestFit="1" customWidth="1"/>
    <col min="9479" max="9479" width="14.81640625" style="1" bestFit="1" customWidth="1"/>
    <col min="9480" max="9480" width="37.54296875" style="1" bestFit="1" customWidth="1"/>
    <col min="9481" max="9481" width="18.7265625" style="1" bestFit="1" customWidth="1"/>
    <col min="9482" max="9482" width="11.453125" style="1" customWidth="1"/>
    <col min="9483" max="9728" width="0" style="1" hidden="1"/>
    <col min="9729" max="9729" width="9.81640625" style="1" bestFit="1" customWidth="1"/>
    <col min="9730" max="9730" width="20.54296875" style="1" bestFit="1" customWidth="1"/>
    <col min="9731" max="9731" width="18.7265625" style="1" bestFit="1" customWidth="1"/>
    <col min="9732" max="9732" width="14.81640625" style="1" bestFit="1" customWidth="1"/>
    <col min="9733" max="9733" width="23.7265625" style="1" bestFit="1" customWidth="1"/>
    <col min="9734" max="9734" width="18.7265625" style="1" bestFit="1" customWidth="1"/>
    <col min="9735" max="9735" width="14.81640625" style="1" bestFit="1" customWidth="1"/>
    <col min="9736" max="9736" width="37.54296875" style="1" bestFit="1" customWidth="1"/>
    <col min="9737" max="9737" width="18.7265625" style="1" bestFit="1" customWidth="1"/>
    <col min="9738" max="9738" width="11.453125" style="1" customWidth="1"/>
    <col min="9739" max="9984" width="0" style="1" hidden="1"/>
    <col min="9985" max="9985" width="9.81640625" style="1" bestFit="1" customWidth="1"/>
    <col min="9986" max="9986" width="20.54296875" style="1" bestFit="1" customWidth="1"/>
    <col min="9987" max="9987" width="18.7265625" style="1" bestFit="1" customWidth="1"/>
    <col min="9988" max="9988" width="14.81640625" style="1" bestFit="1" customWidth="1"/>
    <col min="9989" max="9989" width="23.7265625" style="1" bestFit="1" customWidth="1"/>
    <col min="9990" max="9990" width="18.7265625" style="1" bestFit="1" customWidth="1"/>
    <col min="9991" max="9991" width="14.81640625" style="1" bestFit="1" customWidth="1"/>
    <col min="9992" max="9992" width="37.54296875" style="1" bestFit="1" customWidth="1"/>
    <col min="9993" max="9993" width="18.7265625" style="1" bestFit="1" customWidth="1"/>
    <col min="9994" max="9994" width="11.453125" style="1" customWidth="1"/>
    <col min="9995" max="10240" width="0" style="1" hidden="1"/>
    <col min="10241" max="10241" width="9.81640625" style="1" bestFit="1" customWidth="1"/>
    <col min="10242" max="10242" width="20.54296875" style="1" bestFit="1" customWidth="1"/>
    <col min="10243" max="10243" width="18.7265625" style="1" bestFit="1" customWidth="1"/>
    <col min="10244" max="10244" width="14.81640625" style="1" bestFit="1" customWidth="1"/>
    <col min="10245" max="10245" width="23.7265625" style="1" bestFit="1" customWidth="1"/>
    <col min="10246" max="10246" width="18.7265625" style="1" bestFit="1" customWidth="1"/>
    <col min="10247" max="10247" width="14.81640625" style="1" bestFit="1" customWidth="1"/>
    <col min="10248" max="10248" width="37.54296875" style="1" bestFit="1" customWidth="1"/>
    <col min="10249" max="10249" width="18.7265625" style="1" bestFit="1" customWidth="1"/>
    <col min="10250" max="10250" width="11.453125" style="1" customWidth="1"/>
    <col min="10251" max="10496" width="0" style="1" hidden="1"/>
    <col min="10497" max="10497" width="9.81640625" style="1" bestFit="1" customWidth="1"/>
    <col min="10498" max="10498" width="20.54296875" style="1" bestFit="1" customWidth="1"/>
    <col min="10499" max="10499" width="18.7265625" style="1" bestFit="1" customWidth="1"/>
    <col min="10500" max="10500" width="14.81640625" style="1" bestFit="1" customWidth="1"/>
    <col min="10501" max="10501" width="23.7265625" style="1" bestFit="1" customWidth="1"/>
    <col min="10502" max="10502" width="18.7265625" style="1" bestFit="1" customWidth="1"/>
    <col min="10503" max="10503" width="14.81640625" style="1" bestFit="1" customWidth="1"/>
    <col min="10504" max="10504" width="37.54296875" style="1" bestFit="1" customWidth="1"/>
    <col min="10505" max="10505" width="18.7265625" style="1" bestFit="1" customWidth="1"/>
    <col min="10506" max="10506" width="11.453125" style="1" customWidth="1"/>
    <col min="10507" max="10752" width="0" style="1" hidden="1"/>
    <col min="10753" max="10753" width="9.81640625" style="1" bestFit="1" customWidth="1"/>
    <col min="10754" max="10754" width="20.54296875" style="1" bestFit="1" customWidth="1"/>
    <col min="10755" max="10755" width="18.7265625" style="1" bestFit="1" customWidth="1"/>
    <col min="10756" max="10756" width="14.81640625" style="1" bestFit="1" customWidth="1"/>
    <col min="10757" max="10757" width="23.7265625" style="1" bestFit="1" customWidth="1"/>
    <col min="10758" max="10758" width="18.7265625" style="1" bestFit="1" customWidth="1"/>
    <col min="10759" max="10759" width="14.81640625" style="1" bestFit="1" customWidth="1"/>
    <col min="10760" max="10760" width="37.54296875" style="1" bestFit="1" customWidth="1"/>
    <col min="10761" max="10761" width="18.7265625" style="1" bestFit="1" customWidth="1"/>
    <col min="10762" max="10762" width="11.453125" style="1" customWidth="1"/>
    <col min="10763" max="11008" width="0" style="1" hidden="1"/>
    <col min="11009" max="11009" width="9.81640625" style="1" bestFit="1" customWidth="1"/>
    <col min="11010" max="11010" width="20.54296875" style="1" bestFit="1" customWidth="1"/>
    <col min="11011" max="11011" width="18.7265625" style="1" bestFit="1" customWidth="1"/>
    <col min="11012" max="11012" width="14.81640625" style="1" bestFit="1" customWidth="1"/>
    <col min="11013" max="11013" width="23.7265625" style="1" bestFit="1" customWidth="1"/>
    <col min="11014" max="11014" width="18.7265625" style="1" bestFit="1" customWidth="1"/>
    <col min="11015" max="11015" width="14.81640625" style="1" bestFit="1" customWidth="1"/>
    <col min="11016" max="11016" width="37.54296875" style="1" bestFit="1" customWidth="1"/>
    <col min="11017" max="11017" width="18.7265625" style="1" bestFit="1" customWidth="1"/>
    <col min="11018" max="11018" width="11.453125" style="1" customWidth="1"/>
    <col min="11019" max="11264" width="0" style="1" hidden="1"/>
    <col min="11265" max="11265" width="9.81640625" style="1" bestFit="1" customWidth="1"/>
    <col min="11266" max="11266" width="20.54296875" style="1" bestFit="1" customWidth="1"/>
    <col min="11267" max="11267" width="18.7265625" style="1" bestFit="1" customWidth="1"/>
    <col min="11268" max="11268" width="14.81640625" style="1" bestFit="1" customWidth="1"/>
    <col min="11269" max="11269" width="23.7265625" style="1" bestFit="1" customWidth="1"/>
    <col min="11270" max="11270" width="18.7265625" style="1" bestFit="1" customWidth="1"/>
    <col min="11271" max="11271" width="14.81640625" style="1" bestFit="1" customWidth="1"/>
    <col min="11272" max="11272" width="37.54296875" style="1" bestFit="1" customWidth="1"/>
    <col min="11273" max="11273" width="18.7265625" style="1" bestFit="1" customWidth="1"/>
    <col min="11274" max="11274" width="11.453125" style="1" customWidth="1"/>
    <col min="11275" max="11520" width="0" style="1" hidden="1"/>
    <col min="11521" max="11521" width="9.81640625" style="1" bestFit="1" customWidth="1"/>
    <col min="11522" max="11522" width="20.54296875" style="1" bestFit="1" customWidth="1"/>
    <col min="11523" max="11523" width="18.7265625" style="1" bestFit="1" customWidth="1"/>
    <col min="11524" max="11524" width="14.81640625" style="1" bestFit="1" customWidth="1"/>
    <col min="11525" max="11525" width="23.7265625" style="1" bestFit="1" customWidth="1"/>
    <col min="11526" max="11526" width="18.7265625" style="1" bestFit="1" customWidth="1"/>
    <col min="11527" max="11527" width="14.81640625" style="1" bestFit="1" customWidth="1"/>
    <col min="11528" max="11528" width="37.54296875" style="1" bestFit="1" customWidth="1"/>
    <col min="11529" max="11529" width="18.7265625" style="1" bestFit="1" customWidth="1"/>
    <col min="11530" max="11530" width="11.453125" style="1" customWidth="1"/>
    <col min="11531" max="11776" width="0" style="1" hidden="1"/>
    <col min="11777" max="11777" width="9.81640625" style="1" bestFit="1" customWidth="1"/>
    <col min="11778" max="11778" width="20.54296875" style="1" bestFit="1" customWidth="1"/>
    <col min="11779" max="11779" width="18.7265625" style="1" bestFit="1" customWidth="1"/>
    <col min="11780" max="11780" width="14.81640625" style="1" bestFit="1" customWidth="1"/>
    <col min="11781" max="11781" width="23.7265625" style="1" bestFit="1" customWidth="1"/>
    <col min="11782" max="11782" width="18.7265625" style="1" bestFit="1" customWidth="1"/>
    <col min="11783" max="11783" width="14.81640625" style="1" bestFit="1" customWidth="1"/>
    <col min="11784" max="11784" width="37.54296875" style="1" bestFit="1" customWidth="1"/>
    <col min="11785" max="11785" width="18.7265625" style="1" bestFit="1" customWidth="1"/>
    <col min="11786" max="11786" width="11.453125" style="1" customWidth="1"/>
    <col min="11787" max="12032" width="0" style="1" hidden="1"/>
    <col min="12033" max="12033" width="9.81640625" style="1" bestFit="1" customWidth="1"/>
    <col min="12034" max="12034" width="20.54296875" style="1" bestFit="1" customWidth="1"/>
    <col min="12035" max="12035" width="18.7265625" style="1" bestFit="1" customWidth="1"/>
    <col min="12036" max="12036" width="14.81640625" style="1" bestFit="1" customWidth="1"/>
    <col min="12037" max="12037" width="23.7265625" style="1" bestFit="1" customWidth="1"/>
    <col min="12038" max="12038" width="18.7265625" style="1" bestFit="1" customWidth="1"/>
    <col min="12039" max="12039" width="14.81640625" style="1" bestFit="1" customWidth="1"/>
    <col min="12040" max="12040" width="37.54296875" style="1" bestFit="1" customWidth="1"/>
    <col min="12041" max="12041" width="18.7265625" style="1" bestFit="1" customWidth="1"/>
    <col min="12042" max="12042" width="11.453125" style="1" customWidth="1"/>
    <col min="12043" max="12288" width="0" style="1" hidden="1"/>
    <col min="12289" max="12289" width="9.81640625" style="1" bestFit="1" customWidth="1"/>
    <col min="12290" max="12290" width="20.54296875" style="1" bestFit="1" customWidth="1"/>
    <col min="12291" max="12291" width="18.7265625" style="1" bestFit="1" customWidth="1"/>
    <col min="12292" max="12292" width="14.81640625" style="1" bestFit="1" customWidth="1"/>
    <col min="12293" max="12293" width="23.7265625" style="1" bestFit="1" customWidth="1"/>
    <col min="12294" max="12294" width="18.7265625" style="1" bestFit="1" customWidth="1"/>
    <col min="12295" max="12295" width="14.81640625" style="1" bestFit="1" customWidth="1"/>
    <col min="12296" max="12296" width="37.54296875" style="1" bestFit="1" customWidth="1"/>
    <col min="12297" max="12297" width="18.7265625" style="1" bestFit="1" customWidth="1"/>
    <col min="12298" max="12298" width="11.453125" style="1" customWidth="1"/>
    <col min="12299" max="12544" width="0" style="1" hidden="1"/>
    <col min="12545" max="12545" width="9.81640625" style="1" bestFit="1" customWidth="1"/>
    <col min="12546" max="12546" width="20.54296875" style="1" bestFit="1" customWidth="1"/>
    <col min="12547" max="12547" width="18.7265625" style="1" bestFit="1" customWidth="1"/>
    <col min="12548" max="12548" width="14.81640625" style="1" bestFit="1" customWidth="1"/>
    <col min="12549" max="12549" width="23.7265625" style="1" bestFit="1" customWidth="1"/>
    <col min="12550" max="12550" width="18.7265625" style="1" bestFit="1" customWidth="1"/>
    <col min="12551" max="12551" width="14.81640625" style="1" bestFit="1" customWidth="1"/>
    <col min="12552" max="12552" width="37.54296875" style="1" bestFit="1" customWidth="1"/>
    <col min="12553" max="12553" width="18.7265625" style="1" bestFit="1" customWidth="1"/>
    <col min="12554" max="12554" width="11.453125" style="1" customWidth="1"/>
    <col min="12555" max="12800" width="0" style="1" hidden="1"/>
    <col min="12801" max="12801" width="9.81640625" style="1" bestFit="1" customWidth="1"/>
    <col min="12802" max="12802" width="20.54296875" style="1" bestFit="1" customWidth="1"/>
    <col min="12803" max="12803" width="18.7265625" style="1" bestFit="1" customWidth="1"/>
    <col min="12804" max="12804" width="14.81640625" style="1" bestFit="1" customWidth="1"/>
    <col min="12805" max="12805" width="23.7265625" style="1" bestFit="1" customWidth="1"/>
    <col min="12806" max="12806" width="18.7265625" style="1" bestFit="1" customWidth="1"/>
    <col min="12807" max="12807" width="14.81640625" style="1" bestFit="1" customWidth="1"/>
    <col min="12808" max="12808" width="37.54296875" style="1" bestFit="1" customWidth="1"/>
    <col min="12809" max="12809" width="18.7265625" style="1" bestFit="1" customWidth="1"/>
    <col min="12810" max="12810" width="11.453125" style="1" customWidth="1"/>
    <col min="12811" max="13056" width="0" style="1" hidden="1"/>
    <col min="13057" max="13057" width="9.81640625" style="1" bestFit="1" customWidth="1"/>
    <col min="13058" max="13058" width="20.54296875" style="1" bestFit="1" customWidth="1"/>
    <col min="13059" max="13059" width="18.7265625" style="1" bestFit="1" customWidth="1"/>
    <col min="13060" max="13060" width="14.81640625" style="1" bestFit="1" customWidth="1"/>
    <col min="13061" max="13061" width="23.7265625" style="1" bestFit="1" customWidth="1"/>
    <col min="13062" max="13062" width="18.7265625" style="1" bestFit="1" customWidth="1"/>
    <col min="13063" max="13063" width="14.81640625" style="1" bestFit="1" customWidth="1"/>
    <col min="13064" max="13064" width="37.54296875" style="1" bestFit="1" customWidth="1"/>
    <col min="13065" max="13065" width="18.7265625" style="1" bestFit="1" customWidth="1"/>
    <col min="13066" max="13066" width="11.453125" style="1" customWidth="1"/>
    <col min="13067" max="13312" width="0" style="1" hidden="1"/>
    <col min="13313" max="13313" width="9.81640625" style="1" bestFit="1" customWidth="1"/>
    <col min="13314" max="13314" width="20.54296875" style="1" bestFit="1" customWidth="1"/>
    <col min="13315" max="13315" width="18.7265625" style="1" bestFit="1" customWidth="1"/>
    <col min="13316" max="13316" width="14.81640625" style="1" bestFit="1" customWidth="1"/>
    <col min="13317" max="13317" width="23.7265625" style="1" bestFit="1" customWidth="1"/>
    <col min="13318" max="13318" width="18.7265625" style="1" bestFit="1" customWidth="1"/>
    <col min="13319" max="13319" width="14.81640625" style="1" bestFit="1" customWidth="1"/>
    <col min="13320" max="13320" width="37.54296875" style="1" bestFit="1" customWidth="1"/>
    <col min="13321" max="13321" width="18.7265625" style="1" bestFit="1" customWidth="1"/>
    <col min="13322" max="13322" width="11.453125" style="1" customWidth="1"/>
    <col min="13323" max="13568" width="0" style="1" hidden="1"/>
    <col min="13569" max="13569" width="9.81640625" style="1" bestFit="1" customWidth="1"/>
    <col min="13570" max="13570" width="20.54296875" style="1" bestFit="1" customWidth="1"/>
    <col min="13571" max="13571" width="18.7265625" style="1" bestFit="1" customWidth="1"/>
    <col min="13572" max="13572" width="14.81640625" style="1" bestFit="1" customWidth="1"/>
    <col min="13573" max="13573" width="23.7265625" style="1" bestFit="1" customWidth="1"/>
    <col min="13574" max="13574" width="18.7265625" style="1" bestFit="1" customWidth="1"/>
    <col min="13575" max="13575" width="14.81640625" style="1" bestFit="1" customWidth="1"/>
    <col min="13576" max="13576" width="37.54296875" style="1" bestFit="1" customWidth="1"/>
    <col min="13577" max="13577" width="18.7265625" style="1" bestFit="1" customWidth="1"/>
    <col min="13578" max="13578" width="11.453125" style="1" customWidth="1"/>
    <col min="13579" max="13824" width="0" style="1" hidden="1"/>
    <col min="13825" max="13825" width="9.81640625" style="1" bestFit="1" customWidth="1"/>
    <col min="13826" max="13826" width="20.54296875" style="1" bestFit="1" customWidth="1"/>
    <col min="13827" max="13827" width="18.7265625" style="1" bestFit="1" customWidth="1"/>
    <col min="13828" max="13828" width="14.81640625" style="1" bestFit="1" customWidth="1"/>
    <col min="13829" max="13829" width="23.7265625" style="1" bestFit="1" customWidth="1"/>
    <col min="13830" max="13830" width="18.7265625" style="1" bestFit="1" customWidth="1"/>
    <col min="13831" max="13831" width="14.81640625" style="1" bestFit="1" customWidth="1"/>
    <col min="13832" max="13832" width="37.54296875" style="1" bestFit="1" customWidth="1"/>
    <col min="13833" max="13833" width="18.7265625" style="1" bestFit="1" customWidth="1"/>
    <col min="13834" max="13834" width="11.453125" style="1" customWidth="1"/>
    <col min="13835" max="14080" width="0" style="1" hidden="1"/>
    <col min="14081" max="14081" width="9.81640625" style="1" bestFit="1" customWidth="1"/>
    <col min="14082" max="14082" width="20.54296875" style="1" bestFit="1" customWidth="1"/>
    <col min="14083" max="14083" width="18.7265625" style="1" bestFit="1" customWidth="1"/>
    <col min="14084" max="14084" width="14.81640625" style="1" bestFit="1" customWidth="1"/>
    <col min="14085" max="14085" width="23.7265625" style="1" bestFit="1" customWidth="1"/>
    <col min="14086" max="14086" width="18.7265625" style="1" bestFit="1" customWidth="1"/>
    <col min="14087" max="14087" width="14.81640625" style="1" bestFit="1" customWidth="1"/>
    <col min="14088" max="14088" width="37.54296875" style="1" bestFit="1" customWidth="1"/>
    <col min="14089" max="14089" width="18.7265625" style="1" bestFit="1" customWidth="1"/>
    <col min="14090" max="14090" width="11.453125" style="1" customWidth="1"/>
    <col min="14091" max="14336" width="0" style="1" hidden="1"/>
    <col min="14337" max="14337" width="9.81640625" style="1" bestFit="1" customWidth="1"/>
    <col min="14338" max="14338" width="20.54296875" style="1" bestFit="1" customWidth="1"/>
    <col min="14339" max="14339" width="18.7265625" style="1" bestFit="1" customWidth="1"/>
    <col min="14340" max="14340" width="14.81640625" style="1" bestFit="1" customWidth="1"/>
    <col min="14341" max="14341" width="23.7265625" style="1" bestFit="1" customWidth="1"/>
    <col min="14342" max="14342" width="18.7265625" style="1" bestFit="1" customWidth="1"/>
    <col min="14343" max="14343" width="14.81640625" style="1" bestFit="1" customWidth="1"/>
    <col min="14344" max="14344" width="37.54296875" style="1" bestFit="1" customWidth="1"/>
    <col min="14345" max="14345" width="18.7265625" style="1" bestFit="1" customWidth="1"/>
    <col min="14346" max="14346" width="11.453125" style="1" customWidth="1"/>
    <col min="14347" max="14592" width="0" style="1" hidden="1"/>
    <col min="14593" max="14593" width="9.81640625" style="1" bestFit="1" customWidth="1"/>
    <col min="14594" max="14594" width="20.54296875" style="1" bestFit="1" customWidth="1"/>
    <col min="14595" max="14595" width="18.7265625" style="1" bestFit="1" customWidth="1"/>
    <col min="14596" max="14596" width="14.81640625" style="1" bestFit="1" customWidth="1"/>
    <col min="14597" max="14597" width="23.7265625" style="1" bestFit="1" customWidth="1"/>
    <col min="14598" max="14598" width="18.7265625" style="1" bestFit="1" customWidth="1"/>
    <col min="14599" max="14599" width="14.81640625" style="1" bestFit="1" customWidth="1"/>
    <col min="14600" max="14600" width="37.54296875" style="1" bestFit="1" customWidth="1"/>
    <col min="14601" max="14601" width="18.7265625" style="1" bestFit="1" customWidth="1"/>
    <col min="14602" max="14602" width="11.453125" style="1" customWidth="1"/>
    <col min="14603" max="14848" width="0" style="1" hidden="1"/>
    <col min="14849" max="14849" width="9.81640625" style="1" bestFit="1" customWidth="1"/>
    <col min="14850" max="14850" width="20.54296875" style="1" bestFit="1" customWidth="1"/>
    <col min="14851" max="14851" width="18.7265625" style="1" bestFit="1" customWidth="1"/>
    <col min="14852" max="14852" width="14.81640625" style="1" bestFit="1" customWidth="1"/>
    <col min="14853" max="14853" width="23.7265625" style="1" bestFit="1" customWidth="1"/>
    <col min="14854" max="14854" width="18.7265625" style="1" bestFit="1" customWidth="1"/>
    <col min="14855" max="14855" width="14.81640625" style="1" bestFit="1" customWidth="1"/>
    <col min="14856" max="14856" width="37.54296875" style="1" bestFit="1" customWidth="1"/>
    <col min="14857" max="14857" width="18.7265625" style="1" bestFit="1" customWidth="1"/>
    <col min="14858" max="14858" width="11.453125" style="1" customWidth="1"/>
    <col min="14859" max="15104" width="0" style="1" hidden="1"/>
    <col min="15105" max="15105" width="9.81640625" style="1" bestFit="1" customWidth="1"/>
    <col min="15106" max="15106" width="20.54296875" style="1" bestFit="1" customWidth="1"/>
    <col min="15107" max="15107" width="18.7265625" style="1" bestFit="1" customWidth="1"/>
    <col min="15108" max="15108" width="14.81640625" style="1" bestFit="1" customWidth="1"/>
    <col min="15109" max="15109" width="23.7265625" style="1" bestFit="1" customWidth="1"/>
    <col min="15110" max="15110" width="18.7265625" style="1" bestFit="1" customWidth="1"/>
    <col min="15111" max="15111" width="14.81640625" style="1" bestFit="1" customWidth="1"/>
    <col min="15112" max="15112" width="37.54296875" style="1" bestFit="1" customWidth="1"/>
    <col min="15113" max="15113" width="18.7265625" style="1" bestFit="1" customWidth="1"/>
    <col min="15114" max="15114" width="11.453125" style="1" customWidth="1"/>
    <col min="15115" max="15360" width="0" style="1" hidden="1"/>
    <col min="15361" max="15361" width="9.81640625" style="1" bestFit="1" customWidth="1"/>
    <col min="15362" max="15362" width="20.54296875" style="1" bestFit="1" customWidth="1"/>
    <col min="15363" max="15363" width="18.7265625" style="1" bestFit="1" customWidth="1"/>
    <col min="15364" max="15364" width="14.81640625" style="1" bestFit="1" customWidth="1"/>
    <col min="15365" max="15365" width="23.7265625" style="1" bestFit="1" customWidth="1"/>
    <col min="15366" max="15366" width="18.7265625" style="1" bestFit="1" customWidth="1"/>
    <col min="15367" max="15367" width="14.81640625" style="1" bestFit="1" customWidth="1"/>
    <col min="15368" max="15368" width="37.54296875" style="1" bestFit="1" customWidth="1"/>
    <col min="15369" max="15369" width="18.7265625" style="1" bestFit="1" customWidth="1"/>
    <col min="15370" max="15370" width="11.453125" style="1" customWidth="1"/>
    <col min="15371" max="15616" width="0" style="1" hidden="1"/>
    <col min="15617" max="15617" width="9.81640625" style="1" bestFit="1" customWidth="1"/>
    <col min="15618" max="15618" width="20.54296875" style="1" bestFit="1" customWidth="1"/>
    <col min="15619" max="15619" width="18.7265625" style="1" bestFit="1" customWidth="1"/>
    <col min="15620" max="15620" width="14.81640625" style="1" bestFit="1" customWidth="1"/>
    <col min="15621" max="15621" width="23.7265625" style="1" bestFit="1" customWidth="1"/>
    <col min="15622" max="15622" width="18.7265625" style="1" bestFit="1" customWidth="1"/>
    <col min="15623" max="15623" width="14.81640625" style="1" bestFit="1" customWidth="1"/>
    <col min="15624" max="15624" width="37.54296875" style="1" bestFit="1" customWidth="1"/>
    <col min="15625" max="15625" width="18.7265625" style="1" bestFit="1" customWidth="1"/>
    <col min="15626" max="15626" width="11.453125" style="1" customWidth="1"/>
    <col min="15627" max="15872" width="0" style="1" hidden="1"/>
    <col min="15873" max="15873" width="9.81640625" style="1" bestFit="1" customWidth="1"/>
    <col min="15874" max="15874" width="20.54296875" style="1" bestFit="1" customWidth="1"/>
    <col min="15875" max="15875" width="18.7265625" style="1" bestFit="1" customWidth="1"/>
    <col min="15876" max="15876" width="14.81640625" style="1" bestFit="1" customWidth="1"/>
    <col min="15877" max="15877" width="23.7265625" style="1" bestFit="1" customWidth="1"/>
    <col min="15878" max="15878" width="18.7265625" style="1" bestFit="1" customWidth="1"/>
    <col min="15879" max="15879" width="14.81640625" style="1" bestFit="1" customWidth="1"/>
    <col min="15880" max="15880" width="37.54296875" style="1" bestFit="1" customWidth="1"/>
    <col min="15881" max="15881" width="18.7265625" style="1" bestFit="1" customWidth="1"/>
    <col min="15882" max="15882" width="11.453125" style="1" customWidth="1"/>
    <col min="15883" max="16128" width="0" style="1" hidden="1"/>
    <col min="16129" max="16129" width="9.81640625" style="1" bestFit="1" customWidth="1"/>
    <col min="16130" max="16130" width="20.54296875" style="1" bestFit="1" customWidth="1"/>
    <col min="16131" max="16131" width="18.7265625" style="1" bestFit="1" customWidth="1"/>
    <col min="16132" max="16132" width="14.81640625" style="1" bestFit="1" customWidth="1"/>
    <col min="16133" max="16133" width="23.7265625" style="1" bestFit="1" customWidth="1"/>
    <col min="16134" max="16134" width="18.7265625" style="1" bestFit="1" customWidth="1"/>
    <col min="16135" max="16135" width="14.81640625" style="1" bestFit="1" customWidth="1"/>
    <col min="16136" max="16136" width="37.54296875" style="1" bestFit="1" customWidth="1"/>
    <col min="16137" max="16137" width="18.7265625" style="1" bestFit="1" customWidth="1"/>
    <col min="16138" max="16138" width="11.453125" style="1" customWidth="1"/>
    <col min="16139" max="16384" width="0" style="1" hidden="1"/>
  </cols>
  <sheetData>
    <row r="1" spans="1:9" s="2" customFormat="1" ht="12.75" customHeight="1" x14ac:dyDescent="0.25">
      <c r="A1" s="3"/>
      <c r="B1" s="4" t="str">
        <f>SaldosSección_título_etiqueta</f>
        <v>Saldos de deuda</v>
      </c>
      <c r="C1" s="5"/>
      <c r="D1" s="6"/>
      <c r="E1" s="4" t="str">
        <f>SaldosSección_título_etiqueta_2</f>
        <v>Saldos de deuda</v>
      </c>
      <c r="F1" s="5"/>
      <c r="G1" s="6"/>
      <c r="H1" s="4" t="str">
        <f>SaldosSección_título_etiqueta_3</f>
        <v>Composición interna y externa</v>
      </c>
      <c r="I1" s="6"/>
    </row>
    <row r="2" spans="1:9" s="2" customFormat="1" x14ac:dyDescent="0.25">
      <c r="A2" s="3"/>
      <c r="B2" s="4" t="str">
        <f>SaldosSección_subtítulo_etiqueta</f>
        <v>(COP millones)</v>
      </c>
      <c r="C2" s="5"/>
      <c r="D2" s="6"/>
      <c r="E2" s="4" t="str">
        <f>SaldosSección_subtítulo_etiqueta_2</f>
        <v>(USD millones)</v>
      </c>
      <c r="F2" s="5"/>
      <c r="G2" s="6"/>
      <c r="H2" s="4" t="str">
        <f>SaldosSección_subtítulo_etiqueta_3</f>
        <v>(% de deuda total)</v>
      </c>
      <c r="I2" s="6"/>
    </row>
    <row r="3" spans="1:9" x14ac:dyDescent="0.3">
      <c r="A3" s="7" t="str">
        <f>SaldosSección_fecha_etiqueta</f>
        <v>Corte a</v>
      </c>
      <c r="B3" s="8" t="str">
        <f>SaldosColumna_título_etiqueta</f>
        <v>Deuda interna</v>
      </c>
      <c r="C3" s="8" t="str">
        <f>SaldosColumna_título_etiqueta_2</f>
        <v>Deuda externa</v>
      </c>
      <c r="D3" s="9" t="str">
        <f>SaldosColumna_título_etiqueta_3</f>
        <v>Deuda total</v>
      </c>
      <c r="E3" s="8" t="str">
        <f>SaldosColumna_título_etiqueta</f>
        <v>Deuda interna</v>
      </c>
      <c r="F3" s="8" t="str">
        <f>SaldosColumna_título_etiqueta_2</f>
        <v>Deuda externa</v>
      </c>
      <c r="G3" s="9" t="str">
        <f>SaldosColumna_título_etiqueta_3</f>
        <v>Deuda total</v>
      </c>
      <c r="H3" s="8" t="str">
        <f>SaldosColumna_título_etiqueta</f>
        <v>Deuda interna</v>
      </c>
      <c r="I3" s="8" t="str">
        <f>SaldosColumna_título_etiqueta_2</f>
        <v>Deuda externa</v>
      </c>
    </row>
    <row r="4" spans="1:9" x14ac:dyDescent="0.3">
      <c r="A4" s="10">
        <v>37072</v>
      </c>
      <c r="B4" s="11">
        <v>35573151.013195097</v>
      </c>
      <c r="C4" s="11">
        <v>37503877.553999975</v>
      </c>
      <c r="D4" s="12">
        <v>73077028.567195058</v>
      </c>
      <c r="E4" s="11">
        <v>15474.324559320998</v>
      </c>
      <c r="F4" s="11">
        <v>16319</v>
      </c>
      <c r="G4" s="12">
        <v>31793.324559320998</v>
      </c>
      <c r="H4" s="13">
        <v>0.48671615107279864</v>
      </c>
      <c r="I4" s="13">
        <v>0.51328384892720136</v>
      </c>
    </row>
    <row r="5" spans="1:9" x14ac:dyDescent="0.3">
      <c r="A5" s="10">
        <v>37103</v>
      </c>
      <c r="B5" s="11">
        <v>35978082.920041367</v>
      </c>
      <c r="C5" s="11">
        <v>37925408.024400003</v>
      </c>
      <c r="D5" s="12">
        <v>73903490.944441378</v>
      </c>
      <c r="E5" s="11">
        <v>15122.588917283061</v>
      </c>
      <c r="F5" s="11">
        <v>16501.72</v>
      </c>
      <c r="G5" s="12">
        <v>31624.308917283062</v>
      </c>
      <c r="H5" s="13">
        <v>0.47819507951423995</v>
      </c>
      <c r="I5" s="13">
        <v>0.5218049204857601</v>
      </c>
    </row>
    <row r="6" spans="1:9" x14ac:dyDescent="0.3">
      <c r="A6" s="10">
        <v>37134</v>
      </c>
      <c r="B6" s="11">
        <v>37271252</v>
      </c>
      <c r="C6" s="11">
        <v>39355635.460000001</v>
      </c>
      <c r="D6" s="12">
        <v>76626887.460000008</v>
      </c>
      <c r="E6" s="11">
        <v>15122.588917283061</v>
      </c>
      <c r="F6" s="11">
        <v>17102</v>
      </c>
      <c r="G6" s="12">
        <v>32224.588917283061</v>
      </c>
      <c r="H6" s="13">
        <v>0.46928725626573753</v>
      </c>
      <c r="I6" s="13">
        <v>0.53071274373426247</v>
      </c>
    </row>
    <row r="7" spans="1:9" x14ac:dyDescent="0.3">
      <c r="A7" s="10">
        <v>37164</v>
      </c>
      <c r="B7" s="11">
        <v>37913586.902099565</v>
      </c>
      <c r="C7" s="11">
        <v>40240996.38797003</v>
      </c>
      <c r="D7" s="12">
        <v>78154583.290069595</v>
      </c>
      <c r="E7" s="11">
        <v>15122.588917283061</v>
      </c>
      <c r="F7" s="11">
        <v>17254.596061200002</v>
      </c>
      <c r="G7" s="12">
        <v>32377.184978483063</v>
      </c>
      <c r="H7" s="13">
        <v>0.46707547080862943</v>
      </c>
      <c r="I7" s="13">
        <v>0.53292452919137057</v>
      </c>
    </row>
    <row r="8" spans="1:9" x14ac:dyDescent="0.3">
      <c r="A8" s="10">
        <v>37195</v>
      </c>
      <c r="B8" s="11">
        <v>39197352.372617163</v>
      </c>
      <c r="C8" s="11">
        <v>39716115.577779599</v>
      </c>
      <c r="D8" s="12">
        <v>78913467.950396761</v>
      </c>
      <c r="E8" s="11">
        <v>16968.403898068918</v>
      </c>
      <c r="F8" s="11">
        <v>17192.974769820001</v>
      </c>
      <c r="G8" s="12">
        <v>34161.378667888916</v>
      </c>
      <c r="H8" s="13">
        <v>0.49671308828115052</v>
      </c>
      <c r="I8" s="13">
        <v>0.50328691171884965</v>
      </c>
    </row>
    <row r="9" spans="1:9" x14ac:dyDescent="0.3">
      <c r="A9" s="10">
        <v>37225</v>
      </c>
      <c r="B9" s="11">
        <v>40466912.222105563</v>
      </c>
      <c r="C9" s="11">
        <v>40313473.489161178</v>
      </c>
      <c r="D9" s="12">
        <v>80780385.711266741</v>
      </c>
      <c r="E9" s="11">
        <v>17528.843242890925</v>
      </c>
      <c r="F9" s="11">
        <v>17462.378979880003</v>
      </c>
      <c r="G9" s="12">
        <v>34991.222222770928</v>
      </c>
      <c r="H9" s="13">
        <v>0.50094972765723611</v>
      </c>
      <c r="I9" s="13">
        <v>0.49905027234276383</v>
      </c>
    </row>
    <row r="10" spans="1:9" x14ac:dyDescent="0.3">
      <c r="A10" s="10">
        <v>37256</v>
      </c>
      <c r="B10" s="11">
        <v>44235677.489604302</v>
      </c>
      <c r="C10" s="11">
        <v>41742137.317556843</v>
      </c>
      <c r="D10" s="12">
        <v>85977814.807161152</v>
      </c>
      <c r="E10" s="11">
        <v>19306.941178608537</v>
      </c>
      <c r="F10" s="11">
        <v>18218.619801829995</v>
      </c>
      <c r="G10" s="12">
        <v>37525.560980438531</v>
      </c>
      <c r="H10" s="13">
        <v>0.51450106738372103</v>
      </c>
      <c r="I10" s="13">
        <v>0.48549893261627897</v>
      </c>
    </row>
    <row r="11" spans="1:9" x14ac:dyDescent="0.3">
      <c r="A11" s="10">
        <v>37287</v>
      </c>
      <c r="B11" s="11">
        <v>44743163</v>
      </c>
      <c r="C11" s="11">
        <v>40909443.660000004</v>
      </c>
      <c r="D11" s="12">
        <v>85652606.659999996</v>
      </c>
      <c r="E11" s="11">
        <v>19755.725841347215</v>
      </c>
      <c r="F11" s="11">
        <v>18063</v>
      </c>
      <c r="G11" s="12">
        <v>37818.725841347215</v>
      </c>
      <c r="H11" s="13">
        <v>0.52237946683408032</v>
      </c>
      <c r="I11" s="13">
        <v>0.47762053316591963</v>
      </c>
    </row>
    <row r="12" spans="1:9" x14ac:dyDescent="0.3">
      <c r="A12" s="10">
        <v>37315</v>
      </c>
      <c r="B12" s="11">
        <v>47124952.109454185</v>
      </c>
      <c r="C12" s="11">
        <v>41662513.746808432</v>
      </c>
      <c r="D12" s="12">
        <v>88787465.856262594</v>
      </c>
      <c r="E12" s="11">
        <v>20402.001934979427</v>
      </c>
      <c r="F12" s="11">
        <v>18037.125727029998</v>
      </c>
      <c r="G12" s="12">
        <v>38439.127662009429</v>
      </c>
      <c r="H12" s="13">
        <v>0.53076131473044208</v>
      </c>
      <c r="I12" s="13">
        <v>0.46923868526955786</v>
      </c>
    </row>
    <row r="13" spans="1:9" x14ac:dyDescent="0.3">
      <c r="A13" s="10">
        <v>37346</v>
      </c>
      <c r="B13" s="11">
        <v>47080813.142619208</v>
      </c>
      <c r="C13" s="11">
        <v>40377232.270791769</v>
      </c>
      <c r="D13" s="12">
        <v>87458045.413410977</v>
      </c>
      <c r="E13" s="11">
        <v>20820.88648329414</v>
      </c>
      <c r="F13" s="11">
        <v>17254.596061200002</v>
      </c>
      <c r="G13" s="12">
        <v>38075.482544494138</v>
      </c>
      <c r="H13" s="13">
        <v>0.5383245523047071</v>
      </c>
      <c r="I13" s="13">
        <v>0.46167544769529284</v>
      </c>
    </row>
    <row r="14" spans="1:9" x14ac:dyDescent="0.3">
      <c r="A14" s="10">
        <v>37376</v>
      </c>
      <c r="B14" s="11">
        <v>47515437.09266752</v>
      </c>
      <c r="C14" s="11">
        <v>40796325.503294006</v>
      </c>
      <c r="D14" s="12">
        <v>88311762.595961526</v>
      </c>
      <c r="E14" s="11">
        <v>20882.693692252851</v>
      </c>
      <c r="F14" s="11">
        <v>17929.692356469997</v>
      </c>
      <c r="G14" s="12">
        <v>38812.386048722852</v>
      </c>
      <c r="H14" s="13">
        <v>0.53804199685218812</v>
      </c>
      <c r="I14" s="13">
        <v>0.46195800314781177</v>
      </c>
    </row>
    <row r="15" spans="1:9" x14ac:dyDescent="0.3">
      <c r="A15" s="10">
        <v>37407</v>
      </c>
      <c r="B15" s="11">
        <v>50152046.057376973</v>
      </c>
      <c r="C15" s="11">
        <v>40677530.02536913</v>
      </c>
      <c r="D15" s="12">
        <v>90829576.082746103</v>
      </c>
      <c r="E15" s="11">
        <v>21606.458002626692</v>
      </c>
      <c r="F15" s="11">
        <v>17524.655786490002</v>
      </c>
      <c r="G15" s="12">
        <v>39131.113789116695</v>
      </c>
      <c r="H15" s="13">
        <v>0.55215545662888765</v>
      </c>
      <c r="I15" s="13">
        <v>0.44784454337111229</v>
      </c>
    </row>
    <row r="16" spans="1:9" x14ac:dyDescent="0.3">
      <c r="A16" s="10">
        <v>37437</v>
      </c>
      <c r="B16" s="11">
        <v>50930450.523260847</v>
      </c>
      <c r="C16" s="11">
        <v>41784906.414400764</v>
      </c>
      <c r="D16" s="12">
        <v>92715356.937661618</v>
      </c>
      <c r="E16" s="11">
        <v>21231.459852452808</v>
      </c>
      <c r="F16" s="11">
        <v>17418.941985810008</v>
      </c>
      <c r="G16" s="12">
        <v>38650.401838262813</v>
      </c>
      <c r="H16" s="13">
        <v>0.54932054629854477</v>
      </c>
      <c r="I16" s="13">
        <v>0.45067945370145529</v>
      </c>
    </row>
    <row r="17" spans="1:9" x14ac:dyDescent="0.3">
      <c r="A17" s="10">
        <v>37468</v>
      </c>
      <c r="B17" s="11">
        <v>51029746.408880182</v>
      </c>
      <c r="C17" s="11">
        <v>46622671.376738898</v>
      </c>
      <c r="D17" s="12">
        <v>97652417.78561908</v>
      </c>
      <c r="E17" s="11">
        <v>19439.459063366241</v>
      </c>
      <c r="F17" s="11">
        <v>17760.611710490008</v>
      </c>
      <c r="G17" s="12">
        <v>37200.070773856249</v>
      </c>
      <c r="H17" s="13">
        <v>0.52256510966178193</v>
      </c>
      <c r="I17" s="13">
        <v>0.47743489033821801</v>
      </c>
    </row>
    <row r="18" spans="1:9" x14ac:dyDescent="0.3">
      <c r="A18" s="10">
        <v>37499</v>
      </c>
      <c r="B18" s="11">
        <v>51184494.820911333</v>
      </c>
      <c r="C18" s="11">
        <v>48187963.442075603</v>
      </c>
      <c r="D18" s="12">
        <v>99372458.262986928</v>
      </c>
      <c r="E18" s="11">
        <v>18870.138111128395</v>
      </c>
      <c r="F18" s="11">
        <v>17765.409791139999</v>
      </c>
      <c r="G18" s="12">
        <v>36635.547902268394</v>
      </c>
      <c r="H18" s="13">
        <v>0.51507727307553097</v>
      </c>
      <c r="I18" s="13">
        <v>0.48492272692446897</v>
      </c>
    </row>
    <row r="19" spans="1:9" x14ac:dyDescent="0.3">
      <c r="A19" s="10">
        <v>37529</v>
      </c>
      <c r="B19" s="11">
        <v>51113367.318832666</v>
      </c>
      <c r="C19" s="11">
        <v>50483958.86658825</v>
      </c>
      <c r="D19" s="12">
        <v>101597326.18542092</v>
      </c>
      <c r="E19" s="11">
        <v>18073.522431767371</v>
      </c>
      <c r="F19" s="11">
        <v>17850.965625649998</v>
      </c>
      <c r="G19" s="12">
        <v>35924.488057417373</v>
      </c>
      <c r="H19" s="13">
        <v>0.50309756405939121</v>
      </c>
      <c r="I19" s="13">
        <v>0.49690243594060868</v>
      </c>
    </row>
    <row r="20" spans="1:9" x14ac:dyDescent="0.3">
      <c r="A20" s="10">
        <v>37560</v>
      </c>
      <c r="B20" s="11">
        <v>51234718.339557618</v>
      </c>
      <c r="C20" s="11">
        <v>49008610.168868423</v>
      </c>
      <c r="D20" s="12">
        <v>100243328.50842604</v>
      </c>
      <c r="E20" s="11">
        <v>18471.415148394983</v>
      </c>
      <c r="F20" s="11">
        <v>17668.846704210006</v>
      </c>
      <c r="G20" s="12">
        <v>36140.261852604992</v>
      </c>
      <c r="H20" s="13">
        <v>0.51110352281699256</v>
      </c>
      <c r="I20" s="13">
        <v>0.48889647718300733</v>
      </c>
    </row>
    <row r="21" spans="1:9" x14ac:dyDescent="0.3">
      <c r="A21" s="10">
        <v>37590</v>
      </c>
      <c r="B21" s="11">
        <v>51558451.517464109</v>
      </c>
      <c r="C21" s="11">
        <v>48962459.796204217</v>
      </c>
      <c r="D21" s="12">
        <v>100520911.31366833</v>
      </c>
      <c r="E21" s="11">
        <v>18692.247167605936</v>
      </c>
      <c r="F21" s="11">
        <v>17751.083934989998</v>
      </c>
      <c r="G21" s="12">
        <v>36443.331102595934</v>
      </c>
      <c r="H21" s="13">
        <v>0.5129126949175743</v>
      </c>
      <c r="I21" s="13">
        <v>0.48708730508242565</v>
      </c>
    </row>
    <row r="22" spans="1:9" x14ac:dyDescent="0.3">
      <c r="A22" s="10">
        <v>37621</v>
      </c>
      <c r="B22" s="11">
        <v>53401028.38812688</v>
      </c>
      <c r="C22" s="11">
        <v>51577033.983709432</v>
      </c>
      <c r="D22" s="12">
        <v>104978062.3718363</v>
      </c>
      <c r="E22" s="11">
        <v>18640.468721311816</v>
      </c>
      <c r="F22" s="11">
        <v>18003.774791070002</v>
      </c>
      <c r="G22" s="12">
        <v>36644.243512381814</v>
      </c>
      <c r="H22" s="13">
        <v>0.50868750271821939</v>
      </c>
      <c r="I22" s="13">
        <v>0.49131249728178072</v>
      </c>
    </row>
    <row r="23" spans="1:9" x14ac:dyDescent="0.3">
      <c r="A23" s="10">
        <v>37652</v>
      </c>
      <c r="B23" s="11">
        <v>54107940.386258736</v>
      </c>
      <c r="C23" s="11">
        <v>55338476.14448221</v>
      </c>
      <c r="D23" s="12">
        <v>109446416.53074095</v>
      </c>
      <c r="E23" s="11">
        <v>18489.212354263764</v>
      </c>
      <c r="F23" s="11">
        <v>18909.698456319995</v>
      </c>
      <c r="G23" s="12">
        <v>37398.910810583759</v>
      </c>
      <c r="H23" s="13">
        <v>0.4943783643301019</v>
      </c>
      <c r="I23" s="13">
        <v>0.50562163566989815</v>
      </c>
    </row>
    <row r="24" spans="1:9" x14ac:dyDescent="0.3">
      <c r="A24" s="10">
        <v>37680</v>
      </c>
      <c r="B24" s="11">
        <v>53287760.098062411</v>
      </c>
      <c r="C24" s="11">
        <v>55657339.257710725</v>
      </c>
      <c r="D24" s="12">
        <v>108945099.35577314</v>
      </c>
      <c r="E24" s="11">
        <v>18025.092124324721</v>
      </c>
      <c r="F24" s="11">
        <v>18826.624832209993</v>
      </c>
      <c r="G24" s="12">
        <v>36851.716956534714</v>
      </c>
      <c r="H24" s="13">
        <v>0.48912489330102787</v>
      </c>
      <c r="I24" s="13">
        <v>0.51087510669897218</v>
      </c>
    </row>
    <row r="25" spans="1:9" x14ac:dyDescent="0.3">
      <c r="A25" s="10">
        <v>37711</v>
      </c>
      <c r="B25" s="11">
        <v>55633774.363829568</v>
      </c>
      <c r="C25" s="11">
        <v>55642669.373808101</v>
      </c>
      <c r="D25" s="12">
        <v>111276443.73763767</v>
      </c>
      <c r="E25" s="11">
        <v>18806.312638833624</v>
      </c>
      <c r="F25" s="11">
        <v>18809.319487469991</v>
      </c>
      <c r="G25" s="12">
        <v>37615.632126303615</v>
      </c>
      <c r="H25" s="13">
        <v>0.49996003192733446</v>
      </c>
      <c r="I25" s="13">
        <v>0.50003996807266549</v>
      </c>
    </row>
    <row r="26" spans="1:9" x14ac:dyDescent="0.3">
      <c r="A26" s="10">
        <v>37741</v>
      </c>
      <c r="B26" s="11">
        <v>56448742.525843754</v>
      </c>
      <c r="C26" s="11">
        <v>57244026.141082197</v>
      </c>
      <c r="D26" s="12">
        <v>113692768.66692595</v>
      </c>
      <c r="E26" s="11">
        <v>19547.181793132451</v>
      </c>
      <c r="F26" s="11">
        <v>19822.574170510001</v>
      </c>
      <c r="G26" s="12">
        <v>39369.755963642456</v>
      </c>
      <c r="H26" s="13">
        <v>0.4965024881328719</v>
      </c>
      <c r="I26" s="13">
        <v>0.50349751186712799</v>
      </c>
    </row>
    <row r="27" spans="1:9" x14ac:dyDescent="0.3">
      <c r="A27" s="10">
        <v>37772</v>
      </c>
      <c r="B27" s="11">
        <v>57306846.364099607</v>
      </c>
      <c r="C27" s="11">
        <v>56677472.811095297</v>
      </c>
      <c r="D27" s="12">
        <v>113984319.1751949</v>
      </c>
      <c r="E27" s="11">
        <v>20084.198590453823</v>
      </c>
      <c r="F27" s="11">
        <v>19863.62348943</v>
      </c>
      <c r="G27" s="12">
        <v>39947.822079883823</v>
      </c>
      <c r="H27" s="13">
        <v>0.50276079006989094</v>
      </c>
      <c r="I27" s="13">
        <v>0.49723920993010912</v>
      </c>
    </row>
    <row r="28" spans="1:9" x14ac:dyDescent="0.3">
      <c r="A28" s="10">
        <v>37802</v>
      </c>
      <c r="B28" s="11">
        <v>57399640.554455832</v>
      </c>
      <c r="C28" s="11">
        <v>53664965.307349928</v>
      </c>
      <c r="D28" s="12">
        <v>111064605.86180577</v>
      </c>
      <c r="E28" s="11">
        <v>20410.357629558872</v>
      </c>
      <c r="F28" s="11">
        <v>19082.369219049997</v>
      </c>
      <c r="G28" s="12">
        <v>39492.726848608872</v>
      </c>
      <c r="H28" s="13">
        <v>0.51681307567846069</v>
      </c>
      <c r="I28" s="13">
        <v>0.48318692432153926</v>
      </c>
    </row>
    <row r="29" spans="1:9" x14ac:dyDescent="0.3">
      <c r="A29" s="10">
        <v>37833</v>
      </c>
      <c r="B29" s="11">
        <v>58053385.139430732</v>
      </c>
      <c r="C29" s="11">
        <v>54782295.577930704</v>
      </c>
      <c r="D29" s="12">
        <v>112835680.71736144</v>
      </c>
      <c r="E29" s="11">
        <v>20154.626142004836</v>
      </c>
      <c r="F29" s="11">
        <v>19018.988882769998</v>
      </c>
      <c r="G29" s="12">
        <v>39173.61502477483</v>
      </c>
      <c r="H29" s="13">
        <v>0.51449492545577713</v>
      </c>
      <c r="I29" s="13">
        <v>0.48550507454422298</v>
      </c>
    </row>
    <row r="30" spans="1:9" x14ac:dyDescent="0.3">
      <c r="A30" s="10">
        <v>37864</v>
      </c>
      <c r="B30" s="11">
        <v>58165183.100311443</v>
      </c>
      <c r="C30" s="11">
        <v>54703139.131215364</v>
      </c>
      <c r="D30" s="12">
        <v>112868322.23152681</v>
      </c>
      <c r="E30" s="11">
        <v>20435.653489249555</v>
      </c>
      <c r="F30" s="11">
        <v>19219.30502878</v>
      </c>
      <c r="G30" s="12">
        <v>39654.958518029554</v>
      </c>
      <c r="H30" s="13">
        <v>0.51533665026930398</v>
      </c>
      <c r="I30" s="13">
        <v>0.48466334973069597</v>
      </c>
    </row>
    <row r="31" spans="1:9" x14ac:dyDescent="0.3">
      <c r="A31" s="10">
        <v>37894</v>
      </c>
      <c r="B31" s="11">
        <v>58787045.591995269</v>
      </c>
      <c r="C31" s="11">
        <v>57148920.614952177</v>
      </c>
      <c r="D31" s="12">
        <v>115935966.20694745</v>
      </c>
      <c r="E31" s="11">
        <v>20345.83271624643</v>
      </c>
      <c r="F31" s="11">
        <v>19778.887798100008</v>
      </c>
      <c r="G31" s="12">
        <v>40124.720514346438</v>
      </c>
      <c r="H31" s="13">
        <v>0.50706478339137229</v>
      </c>
      <c r="I31" s="13">
        <v>0.49293521660862766</v>
      </c>
    </row>
    <row r="32" spans="1:9" x14ac:dyDescent="0.3">
      <c r="A32" s="10">
        <v>37925</v>
      </c>
      <c r="B32" s="11">
        <v>59031765.25977955</v>
      </c>
      <c r="C32" s="11">
        <v>57473243.967486814</v>
      </c>
      <c r="D32" s="12">
        <v>116505009.22726637</v>
      </c>
      <c r="E32" s="11">
        <v>20467.505472901925</v>
      </c>
      <c r="F32" s="11">
        <v>19927.134658320007</v>
      </c>
      <c r="G32" s="12">
        <v>40394.640131221931</v>
      </c>
      <c r="H32" s="13">
        <v>0.50668864498887134</v>
      </c>
      <c r="I32" s="13">
        <v>0.49331135501112866</v>
      </c>
    </row>
    <row r="33" spans="1:9" x14ac:dyDescent="0.3">
      <c r="A33" s="10">
        <v>37955</v>
      </c>
      <c r="B33" s="11">
        <v>60130121.537857756</v>
      </c>
      <c r="C33" s="11">
        <v>57484833.450079121</v>
      </c>
      <c r="D33" s="12">
        <v>117614954.98793688</v>
      </c>
      <c r="E33" s="11">
        <v>21182.274117679841</v>
      </c>
      <c r="F33" s="11">
        <v>20250.408091760004</v>
      </c>
      <c r="G33" s="12">
        <v>41432.682209439845</v>
      </c>
      <c r="H33" s="13">
        <v>0.51124554308612347</v>
      </c>
      <c r="I33" s="13">
        <v>0.48875445691387648</v>
      </c>
    </row>
    <row r="34" spans="1:9" x14ac:dyDescent="0.3">
      <c r="A34" s="10">
        <v>37986</v>
      </c>
      <c r="B34" s="11">
        <v>60949781.787039384</v>
      </c>
      <c r="C34" s="11">
        <v>56810879.610834986</v>
      </c>
      <c r="D34" s="12">
        <v>117760661.39787437</v>
      </c>
      <c r="E34" s="11">
        <v>21938.507811518706</v>
      </c>
      <c r="F34" s="11">
        <v>20448.734836759995</v>
      </c>
      <c r="G34" s="12">
        <v>42387.242648278698</v>
      </c>
      <c r="H34" s="13">
        <v>0.51757336502306328</v>
      </c>
      <c r="I34" s="13">
        <v>0.48242663497693677</v>
      </c>
    </row>
    <row r="35" spans="1:9" x14ac:dyDescent="0.3">
      <c r="A35" s="10">
        <v>38017</v>
      </c>
      <c r="B35" s="11">
        <v>61673052.302487791</v>
      </c>
      <c r="C35" s="11">
        <v>57172994.551158346</v>
      </c>
      <c r="D35" s="12">
        <v>118846046.85364613</v>
      </c>
      <c r="E35" s="11">
        <v>22488.141092696656</v>
      </c>
      <c r="F35" s="11">
        <v>20847.263434479995</v>
      </c>
      <c r="G35" s="12">
        <v>43335.404527176652</v>
      </c>
      <c r="H35" s="13">
        <v>0.51893229884571201</v>
      </c>
      <c r="I35" s="13">
        <v>0.48106770115428799</v>
      </c>
    </row>
    <row r="36" spans="1:9" x14ac:dyDescent="0.3">
      <c r="A36" s="10">
        <v>38046</v>
      </c>
      <c r="B36" s="11">
        <v>63061928.868710108</v>
      </c>
      <c r="C36" s="11">
        <v>55781080.204582401</v>
      </c>
      <c r="D36" s="12">
        <v>118843009.07329251</v>
      </c>
      <c r="E36" s="11">
        <v>23473.288642160602</v>
      </c>
      <c r="F36" s="11">
        <v>20763.167570399994</v>
      </c>
      <c r="G36" s="12">
        <v>44236.456212560603</v>
      </c>
      <c r="H36" s="13">
        <v>0.53063221270187411</v>
      </c>
      <c r="I36" s="13">
        <v>0.46936778729812589</v>
      </c>
    </row>
    <row r="37" spans="1:9" x14ac:dyDescent="0.3">
      <c r="A37" s="10">
        <v>38077</v>
      </c>
      <c r="B37" s="11">
        <v>65169269.776981525</v>
      </c>
      <c r="C37" s="11">
        <v>55059715.900309302</v>
      </c>
      <c r="D37" s="12">
        <v>120228985.67729083</v>
      </c>
      <c r="E37" s="11">
        <v>24333.598357447474</v>
      </c>
      <c r="F37" s="11">
        <v>20558.785098839999</v>
      </c>
      <c r="G37" s="12">
        <v>44892.383456287462</v>
      </c>
      <c r="H37" s="13">
        <v>0.54204291427612761</v>
      </c>
      <c r="I37" s="13">
        <v>0.45795708572387239</v>
      </c>
    </row>
    <row r="38" spans="1:9" x14ac:dyDescent="0.3">
      <c r="A38" s="10">
        <v>38107</v>
      </c>
      <c r="B38" s="11">
        <v>65390744.922556803</v>
      </c>
      <c r="C38" s="11">
        <v>54369582.968855627</v>
      </c>
      <c r="D38" s="12">
        <v>119760327.89141244</v>
      </c>
      <c r="E38" s="11">
        <v>24703.8126032047</v>
      </c>
      <c r="F38" s="11">
        <v>20540.154276689987</v>
      </c>
      <c r="G38" s="12">
        <v>45243.966879894688</v>
      </c>
      <c r="H38" s="13">
        <v>0.54601340923053476</v>
      </c>
      <c r="I38" s="13">
        <v>0.45398659076946518</v>
      </c>
    </row>
    <row r="39" spans="1:9" x14ac:dyDescent="0.3">
      <c r="A39" s="10">
        <v>38138</v>
      </c>
      <c r="B39" s="11">
        <v>64772864.677130803</v>
      </c>
      <c r="C39" s="11">
        <v>56112731.736808762</v>
      </c>
      <c r="D39" s="12">
        <v>120885596.41393957</v>
      </c>
      <c r="E39" s="11">
        <v>23770.556448310705</v>
      </c>
      <c r="F39" s="11">
        <v>20592.432708779987</v>
      </c>
      <c r="G39" s="12">
        <v>44362.989157090691</v>
      </c>
      <c r="H39" s="13">
        <v>0.5358195401157132</v>
      </c>
      <c r="I39" s="13">
        <v>0.4641804598842868</v>
      </c>
    </row>
    <row r="40" spans="1:9" x14ac:dyDescent="0.3">
      <c r="A40" s="10">
        <v>38168</v>
      </c>
      <c r="B40" s="11">
        <v>64037763.938743904</v>
      </c>
      <c r="C40" s="11">
        <v>56158872.611948997</v>
      </c>
      <c r="D40" s="12">
        <v>120196636.5506929</v>
      </c>
      <c r="E40" s="11">
        <v>23721.380340180291</v>
      </c>
      <c r="F40" s="11">
        <v>20802.818442849999</v>
      </c>
      <c r="G40" s="12">
        <v>44524.19878303029</v>
      </c>
      <c r="H40" s="13">
        <v>0.53277500749146167</v>
      </c>
      <c r="I40" s="13">
        <v>0.46722499250853833</v>
      </c>
    </row>
    <row r="41" spans="1:9" x14ac:dyDescent="0.3">
      <c r="A41" s="10">
        <v>38199</v>
      </c>
      <c r="B41" s="11">
        <v>65714665.179974191</v>
      </c>
      <c r="C41" s="11">
        <v>54155372.566998266</v>
      </c>
      <c r="D41" s="12">
        <v>119870037.74697246</v>
      </c>
      <c r="E41" s="11">
        <v>25086.241980482977</v>
      </c>
      <c r="F41" s="11">
        <v>20673.540328299998</v>
      </c>
      <c r="G41" s="12">
        <v>45759.782308782975</v>
      </c>
      <c r="H41" s="13">
        <v>0.5482159379868381</v>
      </c>
      <c r="I41" s="13">
        <v>0.4517840620131619</v>
      </c>
    </row>
    <row r="42" spans="1:9" x14ac:dyDescent="0.3">
      <c r="A42" s="10">
        <v>38230</v>
      </c>
      <c r="B42" s="11">
        <v>66967231.066724546</v>
      </c>
      <c r="C42" s="11">
        <v>53033058.572901748</v>
      </c>
      <c r="D42" s="12">
        <v>120000289.63962629</v>
      </c>
      <c r="E42" s="11">
        <v>26246.940369410313</v>
      </c>
      <c r="F42" s="11">
        <v>20785.62162116999</v>
      </c>
      <c r="G42" s="12">
        <v>47032.561990580303</v>
      </c>
      <c r="H42" s="13">
        <v>0.55805891192291535</v>
      </c>
      <c r="I42" s="13">
        <v>0.4419410880770846</v>
      </c>
    </row>
    <row r="43" spans="1:9" x14ac:dyDescent="0.3">
      <c r="A43" s="10">
        <v>38260</v>
      </c>
      <c r="B43" s="11">
        <v>67591890.676543102</v>
      </c>
      <c r="C43" s="11">
        <v>55143120.846011259</v>
      </c>
      <c r="D43" s="12">
        <v>122735011.52255437</v>
      </c>
      <c r="E43" s="11">
        <v>26045.265118101357</v>
      </c>
      <c r="F43" s="11">
        <v>21248.365558329995</v>
      </c>
      <c r="G43" s="12">
        <v>47293.630676431349</v>
      </c>
      <c r="H43" s="13">
        <v>0.55071401255478025</v>
      </c>
      <c r="I43" s="13">
        <v>0.44928598744521969</v>
      </c>
    </row>
    <row r="44" spans="1:9" x14ac:dyDescent="0.3">
      <c r="A44" s="10">
        <v>38291</v>
      </c>
      <c r="B44" s="11">
        <v>68362149.202702209</v>
      </c>
      <c r="C44" s="11">
        <v>55195478.316589572</v>
      </c>
      <c r="D44" s="12">
        <v>123557627.51929179</v>
      </c>
      <c r="E44" s="11">
        <v>26437.523862132493</v>
      </c>
      <c r="F44" s="11">
        <v>21345.609991719997</v>
      </c>
      <c r="G44" s="12">
        <v>47783.133853852487</v>
      </c>
      <c r="H44" s="13">
        <v>0.55328149767223733</v>
      </c>
      <c r="I44" s="13">
        <v>0.44671850232776261</v>
      </c>
    </row>
    <row r="45" spans="1:9" x14ac:dyDescent="0.3">
      <c r="A45" s="10">
        <v>38321</v>
      </c>
      <c r="B45" s="11">
        <v>67885101.644675434</v>
      </c>
      <c r="C45" s="11">
        <v>54676330.974976055</v>
      </c>
      <c r="D45" s="12">
        <v>122561432.6196515</v>
      </c>
      <c r="E45" s="11">
        <v>27382.962222046484</v>
      </c>
      <c r="F45" s="11">
        <v>22054.911449709998</v>
      </c>
      <c r="G45" s="12">
        <v>49437.873671756483</v>
      </c>
      <c r="H45" s="13">
        <v>0.55388632617689182</v>
      </c>
      <c r="I45" s="13">
        <v>0.44611367382310813</v>
      </c>
    </row>
    <row r="46" spans="1:9" x14ac:dyDescent="0.3">
      <c r="A46" s="10">
        <v>38352</v>
      </c>
      <c r="B46" s="11">
        <v>68632099.428202167</v>
      </c>
      <c r="C46" s="11">
        <v>53355003.402211376</v>
      </c>
      <c r="D46" s="12">
        <v>121987102.83041355</v>
      </c>
      <c r="E46" s="11">
        <v>28719.363710933012</v>
      </c>
      <c r="F46" s="11">
        <v>22326.604624839994</v>
      </c>
      <c r="G46" s="12">
        <v>51045.96833577301</v>
      </c>
      <c r="H46" s="13">
        <v>0.56261766888270559</v>
      </c>
      <c r="I46" s="13">
        <v>0.43738233111729435</v>
      </c>
    </row>
    <row r="47" spans="1:9" x14ac:dyDescent="0.3">
      <c r="A47" s="10">
        <v>38383</v>
      </c>
      <c r="B47" s="11">
        <v>71664442.458041191</v>
      </c>
      <c r="C47" s="11">
        <v>52655034.964125529</v>
      </c>
      <c r="D47" s="12">
        <v>124319477.42216672</v>
      </c>
      <c r="E47" s="11">
        <v>30266.767940180249</v>
      </c>
      <c r="F47" s="11">
        <v>22238.332839529987</v>
      </c>
      <c r="G47" s="12">
        <v>52505.100779710236</v>
      </c>
      <c r="H47" s="13">
        <v>0.57645385859113252</v>
      </c>
      <c r="I47" s="13">
        <v>0.42354614140886743</v>
      </c>
    </row>
    <row r="48" spans="1:9" x14ac:dyDescent="0.3">
      <c r="A48" s="10">
        <v>38411</v>
      </c>
      <c r="B48" s="11">
        <v>73547879.652086198</v>
      </c>
      <c r="C48" s="11">
        <v>52522543.20744402</v>
      </c>
      <c r="D48" s="12">
        <v>126070422.85953021</v>
      </c>
      <c r="E48" s="11">
        <v>31650.240622818179</v>
      </c>
      <c r="F48" s="11">
        <v>22602.298509509987</v>
      </c>
      <c r="G48" s="12">
        <v>54252.539132328166</v>
      </c>
      <c r="H48" s="13">
        <v>0.58338726866994395</v>
      </c>
      <c r="I48" s="13">
        <v>0.41661273133005605</v>
      </c>
    </row>
    <row r="49" spans="1:9" x14ac:dyDescent="0.3">
      <c r="A49" s="10">
        <v>38442</v>
      </c>
      <c r="B49" s="11">
        <v>75209161.510763824</v>
      </c>
      <c r="C49" s="11">
        <v>53256922.54934676</v>
      </c>
      <c r="D49" s="12">
        <v>128466084.06011058</v>
      </c>
      <c r="E49" s="11">
        <v>31647.294111780375</v>
      </c>
      <c r="F49" s="11">
        <v>22410.002419269997</v>
      </c>
      <c r="G49" s="12">
        <v>54057.296531050371</v>
      </c>
      <c r="H49" s="13">
        <v>0.58543982297750041</v>
      </c>
      <c r="I49" s="13">
        <v>0.41456017702249964</v>
      </c>
    </row>
    <row r="50" spans="1:9" x14ac:dyDescent="0.3">
      <c r="A50" s="10">
        <v>38472</v>
      </c>
      <c r="B50" s="11">
        <v>78715542.278377354</v>
      </c>
      <c r="C50" s="11">
        <v>49439938.87073911</v>
      </c>
      <c r="D50" s="12">
        <v>128155481.14911646</v>
      </c>
      <c r="E50" s="11">
        <v>33569.256410111164</v>
      </c>
      <c r="F50" s="11">
        <v>21084.298434769993</v>
      </c>
      <c r="G50" s="12">
        <v>54653.554844881161</v>
      </c>
      <c r="H50" s="13">
        <v>0.61421908429173766</v>
      </c>
      <c r="I50" s="13">
        <v>0.38578091570826245</v>
      </c>
    </row>
    <row r="51" spans="1:9" x14ac:dyDescent="0.3">
      <c r="A51" s="10">
        <v>38503</v>
      </c>
      <c r="B51" s="11">
        <v>78699681.094199479</v>
      </c>
      <c r="C51" s="11">
        <v>49250193.677556969</v>
      </c>
      <c r="D51" s="12">
        <v>127949874.77175644</v>
      </c>
      <c r="E51" s="11">
        <v>33736.290490871223</v>
      </c>
      <c r="F51" s="11">
        <v>21112.141974869992</v>
      </c>
      <c r="G51" s="12">
        <v>54848.432465741214</v>
      </c>
      <c r="H51" s="13">
        <v>0.6150821267671267</v>
      </c>
      <c r="I51" s="13">
        <v>0.38491787323287335</v>
      </c>
    </row>
    <row r="52" spans="1:9" x14ac:dyDescent="0.3">
      <c r="A52" s="10">
        <v>38533</v>
      </c>
      <c r="B52" s="11">
        <v>80210987.162045941</v>
      </c>
      <c r="C52" s="11">
        <v>47631539.79827977</v>
      </c>
      <c r="D52" s="12">
        <v>127842526.96032572</v>
      </c>
      <c r="E52" s="11">
        <v>34398.59472343199</v>
      </c>
      <c r="F52" s="11">
        <v>20426.852873209984</v>
      </c>
      <c r="G52" s="12">
        <v>54825.44759664197</v>
      </c>
      <c r="H52" s="13">
        <v>0.62742022603275349</v>
      </c>
      <c r="I52" s="13">
        <v>0.37257977396724645</v>
      </c>
    </row>
    <row r="53" spans="1:9" x14ac:dyDescent="0.3">
      <c r="A53" s="10">
        <v>38564</v>
      </c>
      <c r="B53" s="11">
        <v>81662761.04490903</v>
      </c>
      <c r="C53" s="11">
        <v>48355990.950005665</v>
      </c>
      <c r="D53" s="12">
        <v>130018751.9949147</v>
      </c>
      <c r="E53" s="11">
        <v>35329.973672102999</v>
      </c>
      <c r="F53" s="11">
        <v>20920.378704959989</v>
      </c>
      <c r="G53" s="12">
        <v>56250.352377062984</v>
      </c>
      <c r="H53" s="13">
        <v>0.62808448621398116</v>
      </c>
      <c r="I53" s="13">
        <v>0.37191551378601889</v>
      </c>
    </row>
    <row r="54" spans="1:9" x14ac:dyDescent="0.3">
      <c r="A54" s="10">
        <v>38595</v>
      </c>
      <c r="B54" s="11">
        <v>82361674.349427193</v>
      </c>
      <c r="C54" s="11">
        <v>48949286.399523795</v>
      </c>
      <c r="D54" s="12">
        <v>131310960.74895099</v>
      </c>
      <c r="E54" s="11">
        <v>35742.600507497802</v>
      </c>
      <c r="F54" s="11">
        <v>21242.584038329987</v>
      </c>
      <c r="G54" s="12">
        <v>56985.184545827789</v>
      </c>
      <c r="H54" s="13">
        <v>0.62722619558691461</v>
      </c>
      <c r="I54" s="13">
        <v>0.37277380441308544</v>
      </c>
    </row>
    <row r="55" spans="1:9" x14ac:dyDescent="0.3">
      <c r="A55" s="10">
        <v>38625</v>
      </c>
      <c r="B55" s="11">
        <v>82265112.360757217</v>
      </c>
      <c r="C55" s="11">
        <v>46922700.935614213</v>
      </c>
      <c r="D55" s="12">
        <v>129187813.29637143</v>
      </c>
      <c r="E55" s="11">
        <v>35929.74889206337</v>
      </c>
      <c r="F55" s="11">
        <v>20493.752619709998</v>
      </c>
      <c r="G55" s="12">
        <v>56423.501511773371</v>
      </c>
      <c r="H55" s="13">
        <v>0.63678694035970529</v>
      </c>
      <c r="I55" s="13">
        <v>0.36321305964029471</v>
      </c>
    </row>
    <row r="56" spans="1:9" x14ac:dyDescent="0.3">
      <c r="A56" s="10">
        <v>38656</v>
      </c>
      <c r="B56" s="11">
        <v>85102305.696274936</v>
      </c>
      <c r="C56" s="11">
        <v>46261504.714494951</v>
      </c>
      <c r="D56" s="12">
        <v>131363810.41076988</v>
      </c>
      <c r="E56" s="11">
        <v>37169.558343389777</v>
      </c>
      <c r="F56" s="11">
        <v>20205.324455899994</v>
      </c>
      <c r="G56" s="12">
        <v>57374.882799289771</v>
      </c>
      <c r="H56" s="13">
        <v>0.64783676288136827</v>
      </c>
      <c r="I56" s="13">
        <v>0.35216323711863184</v>
      </c>
    </row>
    <row r="57" spans="1:9" x14ac:dyDescent="0.3">
      <c r="A57" s="10">
        <v>38686</v>
      </c>
      <c r="B57" s="11">
        <v>86420571.961226121</v>
      </c>
      <c r="C57" s="11">
        <v>45845348.870626427</v>
      </c>
      <c r="D57" s="12">
        <v>132265920.83185256</v>
      </c>
      <c r="E57" s="11">
        <v>38003.101071760444</v>
      </c>
      <c r="F57" s="11">
        <v>20160.308908649993</v>
      </c>
      <c r="G57" s="12">
        <v>58163.409980410433</v>
      </c>
      <c r="H57" s="13">
        <v>0.65338502478723259</v>
      </c>
      <c r="I57" s="13">
        <v>0.34661497521276741</v>
      </c>
    </row>
    <row r="58" spans="1:9" x14ac:dyDescent="0.3">
      <c r="A58" s="10">
        <v>38717</v>
      </c>
      <c r="B58" s="11">
        <v>88455668.277352065</v>
      </c>
      <c r="C58" s="11">
        <v>47625679.841941655</v>
      </c>
      <c r="D58" s="12">
        <v>136081348.11929372</v>
      </c>
      <c r="E58" s="11">
        <v>38724.671125089561</v>
      </c>
      <c r="F58" s="11">
        <v>20849.865530440002</v>
      </c>
      <c r="G58" s="12">
        <v>59574.536655529562</v>
      </c>
      <c r="H58" s="13">
        <v>0.65002051713809228</v>
      </c>
      <c r="I58" s="13">
        <v>0.34997948286190772</v>
      </c>
    </row>
    <row r="59" spans="1:9" x14ac:dyDescent="0.3">
      <c r="A59" s="10">
        <v>38748</v>
      </c>
      <c r="B59" s="11">
        <v>89922352.401209503</v>
      </c>
      <c r="C59" s="11">
        <v>47204990.381269716</v>
      </c>
      <c r="D59" s="12">
        <v>137127342.78247923</v>
      </c>
      <c r="E59" s="11">
        <v>39689.427935122148</v>
      </c>
      <c r="F59" s="11">
        <v>20835.076195029997</v>
      </c>
      <c r="G59" s="12">
        <v>60524.504130152141</v>
      </c>
      <c r="H59" s="13">
        <v>0.65575800257320305</v>
      </c>
      <c r="I59" s="13">
        <v>0.34424199742679695</v>
      </c>
    </row>
    <row r="60" spans="1:9" x14ac:dyDescent="0.3">
      <c r="A60" s="10">
        <v>38776</v>
      </c>
      <c r="B60" s="11">
        <v>92527429.223105043</v>
      </c>
      <c r="C60" s="11">
        <v>46849595.46605704</v>
      </c>
      <c r="D60" s="12">
        <v>139377024.68916208</v>
      </c>
      <c r="E60" s="11">
        <v>41172.341459422561</v>
      </c>
      <c r="F60" s="11">
        <v>20846.872737739996</v>
      </c>
      <c r="G60" s="12">
        <v>62019.214197162553</v>
      </c>
      <c r="H60" s="13">
        <v>0.66386428774368833</v>
      </c>
      <c r="I60" s="13">
        <v>0.33613571225631173</v>
      </c>
    </row>
    <row r="61" spans="1:9" x14ac:dyDescent="0.3">
      <c r="A61" s="10">
        <v>38807</v>
      </c>
      <c r="B61" s="11">
        <v>94792069.151071638</v>
      </c>
      <c r="C61" s="11">
        <v>46006732.730593413</v>
      </c>
      <c r="D61" s="12">
        <v>140798801.88166505</v>
      </c>
      <c r="E61" s="11">
        <v>41394.278181936803</v>
      </c>
      <c r="F61" s="11">
        <v>20090.451764029996</v>
      </c>
      <c r="G61" s="12">
        <v>61484.729945966799</v>
      </c>
      <c r="H61" s="13">
        <v>0.67324485637839471</v>
      </c>
      <c r="I61" s="13">
        <v>0.32675514362160529</v>
      </c>
    </row>
    <row r="62" spans="1:9" x14ac:dyDescent="0.3">
      <c r="A62" s="10">
        <v>38837</v>
      </c>
      <c r="B62" s="11">
        <v>92337196.741848662</v>
      </c>
      <c r="C62" s="11">
        <v>47728982.721872941</v>
      </c>
      <c r="D62" s="12">
        <v>140066179.4637216</v>
      </c>
      <c r="E62" s="11">
        <v>38878.328586101503</v>
      </c>
      <c r="F62" s="11">
        <v>20096.159931399998</v>
      </c>
      <c r="G62" s="12">
        <v>58974.488517501501</v>
      </c>
      <c r="H62" s="13">
        <v>0.65923977576446158</v>
      </c>
      <c r="I62" s="13">
        <v>0.34076022423553842</v>
      </c>
    </row>
    <row r="63" spans="1:9" x14ac:dyDescent="0.3">
      <c r="A63" s="10">
        <v>38868</v>
      </c>
      <c r="B63" s="11">
        <v>92790376.453396872</v>
      </c>
      <c r="C63" s="11">
        <v>49817594.352273434</v>
      </c>
      <c r="D63" s="12">
        <v>142607970.80567032</v>
      </c>
      <c r="E63" s="11">
        <v>37379.150282748167</v>
      </c>
      <c r="F63" s="11">
        <v>20068.237862509995</v>
      </c>
      <c r="G63" s="12">
        <v>57447.388145258163</v>
      </c>
      <c r="H63" s="13">
        <v>0.65066753232076269</v>
      </c>
      <c r="I63" s="13">
        <v>0.34933246767923726</v>
      </c>
    </row>
    <row r="64" spans="1:9" x14ac:dyDescent="0.3">
      <c r="A64" s="10">
        <v>38898</v>
      </c>
      <c r="B64" s="11">
        <v>95349235.582001254</v>
      </c>
      <c r="C64" s="11">
        <v>51505701.145503394</v>
      </c>
      <c r="D64" s="12">
        <v>146854936.72750464</v>
      </c>
      <c r="E64" s="11">
        <v>36211.50406438038</v>
      </c>
      <c r="F64" s="11">
        <v>19560.71168253</v>
      </c>
      <c r="G64" s="12">
        <v>55772.215746910384</v>
      </c>
      <c r="H64" s="13">
        <v>0.64927497642742282</v>
      </c>
      <c r="I64" s="13">
        <v>0.35072502357257718</v>
      </c>
    </row>
    <row r="65" spans="1:9" x14ac:dyDescent="0.3">
      <c r="A65" s="10">
        <v>38929</v>
      </c>
      <c r="B65" s="11">
        <v>92907582.605675474</v>
      </c>
      <c r="C65" s="11">
        <v>50046206.271806985</v>
      </c>
      <c r="D65" s="12">
        <v>142953788.87748247</v>
      </c>
      <c r="E65" s="11">
        <v>38296.612780575218</v>
      </c>
      <c r="F65" s="11">
        <v>20629.103986730002</v>
      </c>
      <c r="G65" s="12">
        <v>58925.716767305217</v>
      </c>
      <c r="H65" s="13">
        <v>0.6499133974357354</v>
      </c>
      <c r="I65" s="13">
        <v>0.35008660256426455</v>
      </c>
    </row>
    <row r="66" spans="1:9" x14ac:dyDescent="0.3">
      <c r="A66" s="10">
        <v>38960</v>
      </c>
      <c r="B66" s="11">
        <v>94892849.417197928</v>
      </c>
      <c r="C66" s="11">
        <v>50562853.257410437</v>
      </c>
      <c r="D66" s="12">
        <v>145455702.67460835</v>
      </c>
      <c r="E66" s="11">
        <v>39594.284231273879</v>
      </c>
      <c r="F66" s="11">
        <v>21097.479901950002</v>
      </c>
      <c r="G66" s="12">
        <v>60691.764133223885</v>
      </c>
      <c r="H66" s="13">
        <v>0.65238314945600973</v>
      </c>
      <c r="I66" s="13">
        <v>0.34761685054399039</v>
      </c>
    </row>
    <row r="67" spans="1:9" x14ac:dyDescent="0.3">
      <c r="A67" s="10">
        <v>38990</v>
      </c>
      <c r="B67" s="11">
        <v>92603065.40086107</v>
      </c>
      <c r="C67" s="11">
        <v>52473750.550375253</v>
      </c>
      <c r="D67" s="12">
        <v>145076815.95123631</v>
      </c>
      <c r="E67" s="11">
        <v>38631.773540556205</v>
      </c>
      <c r="F67" s="11">
        <v>21890.787732680001</v>
      </c>
      <c r="G67" s="12">
        <v>60522.561273236206</v>
      </c>
      <c r="H67" s="13">
        <v>0.63830367928661402</v>
      </c>
      <c r="I67" s="13">
        <v>0.36169632071338609</v>
      </c>
    </row>
    <row r="68" spans="1:9" x14ac:dyDescent="0.3">
      <c r="A68" s="10">
        <v>39021</v>
      </c>
      <c r="B68" s="11">
        <v>93352074.441507667</v>
      </c>
      <c r="C68" s="11">
        <v>51382563.469179891</v>
      </c>
      <c r="D68" s="12">
        <v>144734637.91068757</v>
      </c>
      <c r="E68" s="11">
        <v>40318.252054309727</v>
      </c>
      <c r="F68" s="11">
        <v>22191.84905682</v>
      </c>
      <c r="G68" s="12">
        <v>62510.101111129727</v>
      </c>
      <c r="H68" s="13">
        <v>0.64498779137522766</v>
      </c>
      <c r="I68" s="13">
        <v>0.35501220862477229</v>
      </c>
    </row>
    <row r="69" spans="1:9" x14ac:dyDescent="0.3">
      <c r="A69" s="10">
        <v>39051</v>
      </c>
      <c r="B69" s="11">
        <v>93849113.901732877</v>
      </c>
      <c r="C69" s="11">
        <v>52542515.560941406</v>
      </c>
      <c r="D69" s="12">
        <v>146391629.46267429</v>
      </c>
      <c r="E69" s="11">
        <v>40796.512767987093</v>
      </c>
      <c r="F69" s="11">
        <v>22840.401127159999</v>
      </c>
      <c r="G69" s="12">
        <v>63636.913895147096</v>
      </c>
      <c r="H69" s="13">
        <v>0.64108251439104136</v>
      </c>
      <c r="I69" s="13">
        <v>0.35891748560895864</v>
      </c>
    </row>
    <row r="70" spans="1:9" x14ac:dyDescent="0.3">
      <c r="A70" s="10">
        <v>39082</v>
      </c>
      <c r="B70" s="11">
        <v>94398595.822057694</v>
      </c>
      <c r="C70" s="11">
        <v>52613000.833615869</v>
      </c>
      <c r="D70" s="12">
        <v>147011596.65567356</v>
      </c>
      <c r="E70" s="11">
        <v>42165.006910901728</v>
      </c>
      <c r="F70" s="11">
        <v>23500.641343590007</v>
      </c>
      <c r="G70" s="12">
        <v>65665.648254491738</v>
      </c>
      <c r="H70" s="13">
        <v>0.64211666269536161</v>
      </c>
      <c r="I70" s="13">
        <v>0.35788333730463839</v>
      </c>
    </row>
    <row r="71" spans="1:9" x14ac:dyDescent="0.3">
      <c r="A71" s="10">
        <v>39113</v>
      </c>
      <c r="B71" s="11">
        <v>95889138.421525568</v>
      </c>
      <c r="C71" s="11">
        <v>52802085.785340279</v>
      </c>
      <c r="D71" s="12">
        <v>148691224.20686585</v>
      </c>
      <c r="E71" s="11">
        <v>42434.079630009728</v>
      </c>
      <c r="F71" s="11">
        <v>23366.64975543</v>
      </c>
      <c r="G71" s="12">
        <v>65800.729385439729</v>
      </c>
      <c r="H71" s="13">
        <v>0.64488767869797303</v>
      </c>
      <c r="I71" s="13">
        <v>0.35511232130202702</v>
      </c>
    </row>
    <row r="72" spans="1:9" x14ac:dyDescent="0.3">
      <c r="A72" s="10">
        <v>39141</v>
      </c>
      <c r="B72" s="11">
        <v>97689127.118761957</v>
      </c>
      <c r="C72" s="11">
        <v>51142739.557212181</v>
      </c>
      <c r="D72" s="12">
        <v>148831866.67597413</v>
      </c>
      <c r="E72" s="11">
        <v>43922.597305344119</v>
      </c>
      <c r="F72" s="11">
        <v>22994.595416259996</v>
      </c>
      <c r="G72" s="12">
        <v>66917.192721604108</v>
      </c>
      <c r="H72" s="13">
        <v>0.65637238382183027</v>
      </c>
      <c r="I72" s="13">
        <v>0.34362761617816984</v>
      </c>
    </row>
    <row r="73" spans="1:9" x14ac:dyDescent="0.3">
      <c r="A73" s="10">
        <v>39172</v>
      </c>
      <c r="B73" s="11">
        <v>94334998.742592841</v>
      </c>
      <c r="C73" s="11">
        <v>49512699.855404109</v>
      </c>
      <c r="D73" s="12">
        <v>143847698.59799695</v>
      </c>
      <c r="E73" s="11">
        <v>43773.722653936711</v>
      </c>
      <c r="F73" s="11">
        <v>22975.091113659997</v>
      </c>
      <c r="G73" s="12">
        <v>66748.813767596701</v>
      </c>
      <c r="H73" s="13">
        <v>0.65579776153545244</v>
      </c>
      <c r="I73" s="13">
        <v>0.34420223846454756</v>
      </c>
    </row>
    <row r="74" spans="1:9" x14ac:dyDescent="0.3">
      <c r="A74" s="10">
        <v>39202</v>
      </c>
      <c r="B74" s="11">
        <v>96525054.177018374</v>
      </c>
      <c r="C74" s="11">
        <v>48683409.852604091</v>
      </c>
      <c r="D74" s="12">
        <v>145208464.02962247</v>
      </c>
      <c r="E74" s="11">
        <v>45731.949654383854</v>
      </c>
      <c r="F74" s="11">
        <v>23065.382012632999</v>
      </c>
      <c r="G74" s="12">
        <v>68797.331667016857</v>
      </c>
      <c r="H74" s="13">
        <v>0.66473435155492933</v>
      </c>
      <c r="I74" s="13">
        <v>0.33526564844507062</v>
      </c>
    </row>
    <row r="75" spans="1:9" x14ac:dyDescent="0.3">
      <c r="A75" s="14">
        <v>39203</v>
      </c>
      <c r="B75" s="11">
        <v>99055793.67933856</v>
      </c>
      <c r="C75" s="11">
        <v>44881365.785009935</v>
      </c>
      <c r="D75" s="12">
        <v>143937159.4643485</v>
      </c>
      <c r="E75" s="11">
        <v>51307.231632691</v>
      </c>
      <c r="F75" s="11">
        <v>23246.88485943</v>
      </c>
      <c r="G75" s="12">
        <v>74554.116492121</v>
      </c>
      <c r="H75" s="13">
        <v>0.68818777616542792</v>
      </c>
      <c r="I75" s="13">
        <v>0.31181222383457213</v>
      </c>
    </row>
    <row r="76" spans="1:9" x14ac:dyDescent="0.3">
      <c r="A76" s="10">
        <v>39234</v>
      </c>
      <c r="B76" s="11">
        <v>100814612.80950108</v>
      </c>
      <c r="C76" s="11">
        <v>46103605.056092039</v>
      </c>
      <c r="D76" s="12">
        <v>146918217.86559314</v>
      </c>
      <c r="E76" s="11">
        <v>51420.023772958972</v>
      </c>
      <c r="F76" s="11">
        <v>23514.929055800003</v>
      </c>
      <c r="G76" s="12">
        <v>74934.952828758978</v>
      </c>
      <c r="H76" s="13">
        <v>0.68619545127977566</v>
      </c>
      <c r="I76" s="13">
        <v>0.31380454872022423</v>
      </c>
    </row>
    <row r="77" spans="1:9" x14ac:dyDescent="0.3">
      <c r="A77" s="10">
        <v>39264</v>
      </c>
      <c r="B77" s="11">
        <v>101306620.50291529</v>
      </c>
      <c r="C77" s="11">
        <v>45910505.405801535</v>
      </c>
      <c r="D77" s="12">
        <v>147217125.90871683</v>
      </c>
      <c r="E77" s="11">
        <v>51377.736333763714</v>
      </c>
      <c r="F77" s="11">
        <v>23283.550768740002</v>
      </c>
      <c r="G77" s="12">
        <v>74661.287102503717</v>
      </c>
      <c r="H77" s="13">
        <v>0.6881442622764643</v>
      </c>
      <c r="I77" s="13">
        <v>0.31185573772353575</v>
      </c>
    </row>
    <row r="78" spans="1:9" x14ac:dyDescent="0.3">
      <c r="A78" s="10">
        <v>39325</v>
      </c>
      <c r="B78" s="11">
        <v>102607795.20206712</v>
      </c>
      <c r="C78" s="11">
        <v>49881389.751463614</v>
      </c>
      <c r="D78" s="12">
        <v>152489184.95353073</v>
      </c>
      <c r="E78" s="11">
        <v>47215.724127457637</v>
      </c>
      <c r="F78" s="11">
        <v>22953.284718390008</v>
      </c>
      <c r="G78" s="12">
        <v>70169.008845847653</v>
      </c>
      <c r="H78" s="13">
        <v>0.67288572126171198</v>
      </c>
      <c r="I78" s="13">
        <v>0.32711427873828808</v>
      </c>
    </row>
    <row r="79" spans="1:9" x14ac:dyDescent="0.3">
      <c r="A79" s="10">
        <v>39355</v>
      </c>
      <c r="B79" s="11">
        <v>101882009.25166158</v>
      </c>
      <c r="C79" s="11">
        <v>47164331.701779902</v>
      </c>
      <c r="D79" s="12">
        <v>149046340.9534415</v>
      </c>
      <c r="E79" s="11">
        <v>50357.113890273075</v>
      </c>
      <c r="F79" s="11">
        <v>23311.864778779996</v>
      </c>
      <c r="G79" s="12">
        <v>73668.978669053075</v>
      </c>
      <c r="H79" s="13">
        <v>0.68355927827498342</v>
      </c>
      <c r="I79" s="13">
        <v>0.31644072172501642</v>
      </c>
    </row>
    <row r="80" spans="1:9" x14ac:dyDescent="0.3">
      <c r="A80" s="10">
        <v>39386</v>
      </c>
      <c r="B80" s="11">
        <v>102202988.6865117</v>
      </c>
      <c r="C80" s="11">
        <v>46515923.238563418</v>
      </c>
      <c r="D80" s="12">
        <v>148718911.92507511</v>
      </c>
      <c r="E80" s="11">
        <v>51115.806769151211</v>
      </c>
      <c r="F80" s="11">
        <v>23264.475672470002</v>
      </c>
      <c r="G80" s="12">
        <v>74380.28244162121</v>
      </c>
      <c r="H80" s="13">
        <v>0.68722254193200238</v>
      </c>
      <c r="I80" s="13">
        <v>0.31277745806799767</v>
      </c>
    </row>
    <row r="81" spans="1:9" x14ac:dyDescent="0.3">
      <c r="A81" s="10">
        <v>39416</v>
      </c>
      <c r="B81" s="11">
        <v>98259274.359050408</v>
      </c>
      <c r="C81" s="11">
        <v>47850179.700845599</v>
      </c>
      <c r="D81" s="12">
        <v>146109454.05989599</v>
      </c>
      <c r="E81" s="11">
        <v>47688.95388272799</v>
      </c>
      <c r="F81" s="11">
        <v>23223.507683310003</v>
      </c>
      <c r="G81" s="12">
        <v>70912.461566037993</v>
      </c>
      <c r="H81" s="13">
        <v>0.67250456167449701</v>
      </c>
      <c r="I81" s="13">
        <v>0.3274954383255031</v>
      </c>
    </row>
    <row r="82" spans="1:9" x14ac:dyDescent="0.3">
      <c r="A82" s="10">
        <v>39447</v>
      </c>
      <c r="B82" s="11">
        <v>99061897.676175103</v>
      </c>
      <c r="C82" s="11">
        <v>47652802.320653297</v>
      </c>
      <c r="D82" s="12">
        <v>146714699.99682841</v>
      </c>
      <c r="E82" s="11">
        <v>49168.088346093384</v>
      </c>
      <c r="F82" s="11">
        <v>23651.850503610007</v>
      </c>
      <c r="G82" s="12">
        <v>72819.938849703394</v>
      </c>
      <c r="H82" s="13">
        <v>0.67520090132970023</v>
      </c>
      <c r="I82" s="13">
        <v>0.32479909867029977</v>
      </c>
    </row>
    <row r="83" spans="1:9" x14ac:dyDescent="0.3">
      <c r="A83" s="10">
        <v>39478</v>
      </c>
      <c r="B83" s="11">
        <v>101159260.47012641</v>
      </c>
      <c r="C83" s="11">
        <v>46651303.743592858</v>
      </c>
      <c r="D83" s="12">
        <v>147810564.21371925</v>
      </c>
      <c r="E83" s="11">
        <v>52154.702242795633</v>
      </c>
      <c r="F83" s="11">
        <v>24052.022965349999</v>
      </c>
      <c r="G83" s="12">
        <v>76206.725208145624</v>
      </c>
      <c r="H83" s="13">
        <v>0.68438450937688233</v>
      </c>
      <c r="I83" s="13">
        <v>0.31561549062311778</v>
      </c>
    </row>
    <row r="84" spans="1:9" x14ac:dyDescent="0.3">
      <c r="A84" s="10">
        <v>39507</v>
      </c>
      <c r="B84" s="11">
        <v>102825734.606897</v>
      </c>
      <c r="C84" s="11">
        <v>44314054.881832264</v>
      </c>
      <c r="D84" s="12">
        <v>147139789.48872927</v>
      </c>
      <c r="E84" s="11">
        <v>55774.73006845179</v>
      </c>
      <c r="F84" s="11">
        <v>24036.82753857</v>
      </c>
      <c r="G84" s="12">
        <v>79811.557607021794</v>
      </c>
      <c r="H84" s="13">
        <v>0.69883024139281735</v>
      </c>
      <c r="I84" s="13">
        <v>0.30116975860718265</v>
      </c>
    </row>
    <row r="85" spans="1:9" x14ac:dyDescent="0.3">
      <c r="A85" s="10">
        <v>39538</v>
      </c>
      <c r="B85" s="11">
        <v>105246925.25979212</v>
      </c>
      <c r="C85" s="11">
        <v>44062277.015999079</v>
      </c>
      <c r="D85" s="12">
        <v>149309202.2757912</v>
      </c>
      <c r="E85" s="11">
        <v>57777.187779859531</v>
      </c>
      <c r="F85" s="11">
        <v>24188.777457179996</v>
      </c>
      <c r="G85" s="12">
        <v>81965.96523703952</v>
      </c>
      <c r="H85" s="13">
        <v>0.70489242227273441</v>
      </c>
      <c r="I85" s="13">
        <v>0.29510757772726565</v>
      </c>
    </row>
    <row r="86" spans="1:9" x14ac:dyDescent="0.3">
      <c r="A86" s="10">
        <v>39568</v>
      </c>
      <c r="B86" s="11">
        <v>103856013.94427022</v>
      </c>
      <c r="C86" s="11">
        <v>43172097.83177837</v>
      </c>
      <c r="D86" s="12">
        <v>147028111.7760486</v>
      </c>
      <c r="E86" s="11">
        <v>58339.192535863869</v>
      </c>
      <c r="F86" s="11">
        <v>24251.126457989994</v>
      </c>
      <c r="G86" s="12">
        <v>82590.318993853871</v>
      </c>
      <c r="H86" s="13">
        <v>0.70636841274587281</v>
      </c>
      <c r="I86" s="13">
        <v>0.29363158725412714</v>
      </c>
    </row>
    <row r="87" spans="1:9" x14ac:dyDescent="0.3">
      <c r="A87" s="10">
        <v>39599</v>
      </c>
      <c r="B87" s="11">
        <v>105744670.31282616</v>
      </c>
      <c r="C87" s="11">
        <v>42463357.220100753</v>
      </c>
      <c r="D87" s="12">
        <v>148208027.53292692</v>
      </c>
      <c r="E87" s="11">
        <v>60633.064209967924</v>
      </c>
      <c r="F87" s="11">
        <v>24348.115675999998</v>
      </c>
      <c r="G87" s="12">
        <v>84981.179885967926</v>
      </c>
      <c r="H87" s="13">
        <v>0.71348814280207051</v>
      </c>
      <c r="I87" s="13">
        <v>0.28651185719792943</v>
      </c>
    </row>
    <row r="88" spans="1:9" x14ac:dyDescent="0.3">
      <c r="A88" s="10">
        <v>39629</v>
      </c>
      <c r="B88" s="11">
        <v>106183108.47583938</v>
      </c>
      <c r="C88" s="11">
        <v>43819346.217516854</v>
      </c>
      <c r="D88" s="12">
        <v>150002454.69335622</v>
      </c>
      <c r="E88" s="11">
        <v>57934.596862653183</v>
      </c>
      <c r="F88" s="11">
        <v>23908.286302190001</v>
      </c>
      <c r="G88" s="12">
        <v>81842.883164843181</v>
      </c>
      <c r="H88" s="13">
        <v>0.70787580571868036</v>
      </c>
      <c r="I88" s="13">
        <v>0.29212419428131975</v>
      </c>
    </row>
    <row r="89" spans="1:9" x14ac:dyDescent="0.3">
      <c r="A89" s="10">
        <v>39660</v>
      </c>
      <c r="B89" s="11">
        <v>108529115.90136132</v>
      </c>
      <c r="C89" s="11">
        <v>43638631.636088416</v>
      </c>
      <c r="D89" s="12">
        <v>152167747.53744972</v>
      </c>
      <c r="E89" s="11">
        <v>60555.012666473973</v>
      </c>
      <c r="F89" s="11">
        <v>24348.653995050001</v>
      </c>
      <c r="G89" s="12">
        <v>84903.666661523981</v>
      </c>
      <c r="H89" s="13">
        <v>0.71322023002707202</v>
      </c>
      <c r="I89" s="13">
        <v>0.28677976997292803</v>
      </c>
    </row>
    <row r="90" spans="1:9" x14ac:dyDescent="0.3">
      <c r="A90" s="10">
        <v>39691</v>
      </c>
      <c r="B90" s="11">
        <v>105503068.94769689</v>
      </c>
      <c r="C90" s="11">
        <v>46264849.150498301</v>
      </c>
      <c r="D90" s="12">
        <v>151767918.0981952</v>
      </c>
      <c r="E90" s="11">
        <v>54602.561301985763</v>
      </c>
      <c r="F90" s="11">
        <v>23944.130602680001</v>
      </c>
      <c r="G90" s="12">
        <v>78546.691904665757</v>
      </c>
      <c r="H90" s="13">
        <v>0.69516054690448803</v>
      </c>
      <c r="I90" s="13">
        <v>0.30483945309551214</v>
      </c>
    </row>
    <row r="91" spans="1:9" x14ac:dyDescent="0.3">
      <c r="A91" s="10">
        <v>39721</v>
      </c>
      <c r="B91" s="11">
        <v>106592233.08056672</v>
      </c>
      <c r="C91" s="11">
        <v>51168866.095169611</v>
      </c>
      <c r="D91" s="12">
        <v>157761099.17573634</v>
      </c>
      <c r="E91" s="11">
        <v>49016.487055470257</v>
      </c>
      <c r="F91" s="11">
        <v>23530.026439180001</v>
      </c>
      <c r="G91" s="12">
        <v>72546.513494650251</v>
      </c>
      <c r="H91" s="13">
        <v>0.67565599908650109</v>
      </c>
      <c r="I91" s="13">
        <v>0.32434400091349885</v>
      </c>
    </row>
    <row r="92" spans="1:9" x14ac:dyDescent="0.3">
      <c r="A92" s="10">
        <v>39752</v>
      </c>
      <c r="B92" s="11">
        <v>106973101.04841954</v>
      </c>
      <c r="C92" s="11">
        <v>56110588.763866521</v>
      </c>
      <c r="D92" s="12">
        <v>163083689.81228605</v>
      </c>
      <c r="E92" s="11">
        <v>45336.80623534428</v>
      </c>
      <c r="F92" s="11">
        <v>23780.50991891</v>
      </c>
      <c r="G92" s="12">
        <v>69117.31615425428</v>
      </c>
      <c r="H92" s="13">
        <v>0.65593991141326646</v>
      </c>
      <c r="I92" s="13">
        <v>0.34406008858673359</v>
      </c>
    </row>
    <row r="93" spans="1:9" x14ac:dyDescent="0.3">
      <c r="A93" s="10">
        <v>39782</v>
      </c>
      <c r="B93" s="11">
        <v>108007111.78795101</v>
      </c>
      <c r="C93" s="11">
        <v>55222283.02305726</v>
      </c>
      <c r="D93" s="12">
        <v>163229394.81100827</v>
      </c>
      <c r="E93" s="11">
        <v>46594.957630694997</v>
      </c>
      <c r="F93" s="11">
        <v>23823.245480180009</v>
      </c>
      <c r="G93" s="12">
        <v>70418.203110874994</v>
      </c>
      <c r="H93" s="13">
        <v>0.66168910270729586</v>
      </c>
      <c r="I93" s="13">
        <v>0.33831089729270403</v>
      </c>
    </row>
    <row r="94" spans="1:9" x14ac:dyDescent="0.3">
      <c r="A94" s="10">
        <v>39813</v>
      </c>
      <c r="B94" s="11">
        <v>108713710.01804797</v>
      </c>
      <c r="C94" s="11">
        <v>54593058.843084231</v>
      </c>
      <c r="D94" s="12">
        <v>163306768.8611322</v>
      </c>
      <c r="E94" s="11">
        <v>48455.248070301597</v>
      </c>
      <c r="F94" s="11">
        <v>24332.903446300006</v>
      </c>
      <c r="G94" s="12">
        <v>72788.151516601603</v>
      </c>
      <c r="H94" s="13">
        <v>0.66570241255886098</v>
      </c>
      <c r="I94" s="13">
        <v>0.33429758744113908</v>
      </c>
    </row>
    <row r="95" spans="1:9" x14ac:dyDescent="0.3">
      <c r="A95" s="10">
        <v>39844</v>
      </c>
      <c r="B95" s="11">
        <v>111305817.61515965</v>
      </c>
      <c r="C95" s="11">
        <v>60497140.869270988</v>
      </c>
      <c r="D95" s="12">
        <v>171802958.48443064</v>
      </c>
      <c r="E95" s="11">
        <v>45989.198522125575</v>
      </c>
      <c r="F95" s="11">
        <v>24996.133006070002</v>
      </c>
      <c r="G95" s="12">
        <v>70985.331528195573</v>
      </c>
      <c r="H95" s="13">
        <v>0.64786903902616177</v>
      </c>
      <c r="I95" s="13">
        <v>0.35213096097383817</v>
      </c>
    </row>
    <row r="96" spans="1:9" x14ac:dyDescent="0.3">
      <c r="A96" s="10">
        <v>39872</v>
      </c>
      <c r="B96" s="11">
        <v>113372391.7224758</v>
      </c>
      <c r="C96" s="11">
        <v>63350774.895530373</v>
      </c>
      <c r="D96" s="12">
        <v>176723166.61800617</v>
      </c>
      <c r="E96" s="11">
        <v>44357.30664755559</v>
      </c>
      <c r="F96" s="11">
        <v>24786.190938620002</v>
      </c>
      <c r="G96" s="12">
        <v>69143.497586175596</v>
      </c>
      <c r="H96" s="13">
        <v>0.64152535229031138</v>
      </c>
      <c r="I96" s="13">
        <v>0.35847464770968868</v>
      </c>
    </row>
    <row r="97" spans="1:9" x14ac:dyDescent="0.3">
      <c r="A97" s="10">
        <v>39903</v>
      </c>
      <c r="B97" s="11">
        <v>115974564.05949976</v>
      </c>
      <c r="C97" s="11">
        <v>64875502.396956749</v>
      </c>
      <c r="D97" s="12">
        <v>180850066.45645651</v>
      </c>
      <c r="E97" s="11">
        <v>45281.16166167544</v>
      </c>
      <c r="F97" s="11">
        <v>25330.020731199998</v>
      </c>
      <c r="G97" s="12">
        <v>70611.182392875431</v>
      </c>
      <c r="H97" s="13">
        <v>0.64127465547502627</v>
      </c>
      <c r="I97" s="13">
        <v>0.35872534452497368</v>
      </c>
    </row>
    <row r="98" spans="1:9" x14ac:dyDescent="0.3">
      <c r="A98" s="10">
        <v>39933</v>
      </c>
      <c r="B98" s="11">
        <v>118369561.34156573</v>
      </c>
      <c r="C98" s="11">
        <v>59730940.656664416</v>
      </c>
      <c r="D98" s="12">
        <v>178100501.99823016</v>
      </c>
      <c r="E98" s="11">
        <v>51695.859923032731</v>
      </c>
      <c r="F98" s="11">
        <v>26086.455895089995</v>
      </c>
      <c r="G98" s="12">
        <v>77782.315818122734</v>
      </c>
      <c r="H98" s="13">
        <v>0.66462227794698747</v>
      </c>
      <c r="I98" s="13">
        <v>0.33537772205301242</v>
      </c>
    </row>
    <row r="99" spans="1:9" x14ac:dyDescent="0.3">
      <c r="A99" s="10">
        <v>39964</v>
      </c>
      <c r="B99" s="11">
        <v>116922434.1763466</v>
      </c>
      <c r="C99" s="11">
        <v>56210661.949987784</v>
      </c>
      <c r="D99" s="12">
        <v>173133096.12633437</v>
      </c>
      <c r="E99" s="11">
        <v>54619.806123507056</v>
      </c>
      <c r="F99" s="11">
        <v>26258.566026359997</v>
      </c>
      <c r="G99" s="12">
        <v>80878.372149867049</v>
      </c>
      <c r="H99" s="13">
        <v>0.67533265904878681</v>
      </c>
      <c r="I99" s="13">
        <v>0.3246673409512133</v>
      </c>
    </row>
    <row r="100" spans="1:9" x14ac:dyDescent="0.3">
      <c r="A100" s="10">
        <v>39994</v>
      </c>
      <c r="B100" s="11">
        <v>118383672.05927682</v>
      </c>
      <c r="C100" s="11">
        <v>56582159.785788469</v>
      </c>
      <c r="D100" s="12">
        <v>174965831.8450653</v>
      </c>
      <c r="E100" s="11">
        <v>54841.023435391617</v>
      </c>
      <c r="F100" s="11">
        <v>26211.583885349992</v>
      </c>
      <c r="G100" s="12">
        <v>81052.607320741605</v>
      </c>
      <c r="H100" s="13">
        <v>0.67661023190006164</v>
      </c>
      <c r="I100" s="13">
        <v>0.3233897680999383</v>
      </c>
    </row>
    <row r="101" spans="1:9" x14ac:dyDescent="0.3">
      <c r="A101" s="10">
        <v>40025</v>
      </c>
      <c r="B101" s="11">
        <v>115012801.18031743</v>
      </c>
      <c r="C101" s="11">
        <v>54145573.388653852</v>
      </c>
      <c r="D101" s="12">
        <v>169158374.56897128</v>
      </c>
      <c r="E101" s="11">
        <v>56285.842104130643</v>
      </c>
      <c r="F101" s="11">
        <v>26498.173795569994</v>
      </c>
      <c r="G101" s="12">
        <v>82784.015899700637</v>
      </c>
      <c r="H101" s="13">
        <v>0.67991195513304625</v>
      </c>
      <c r="I101" s="13">
        <v>0.3200880448669538</v>
      </c>
    </row>
    <row r="102" spans="1:9" x14ac:dyDescent="0.3">
      <c r="A102" s="10">
        <v>40056</v>
      </c>
      <c r="B102" s="11">
        <v>118150262.93048888</v>
      </c>
      <c r="C102" s="11">
        <v>54433450.441749491</v>
      </c>
      <c r="D102" s="12">
        <v>172583713.37223837</v>
      </c>
      <c r="E102" s="11">
        <v>58059.097263139498</v>
      </c>
      <c r="F102" s="11">
        <v>26748.624295699996</v>
      </c>
      <c r="G102" s="12">
        <v>84807.72155883949</v>
      </c>
      <c r="H102" s="13">
        <v>0.68459682910898823</v>
      </c>
      <c r="I102" s="13">
        <v>0.31540317089101177</v>
      </c>
    </row>
    <row r="103" spans="1:9" x14ac:dyDescent="0.3">
      <c r="A103" s="10">
        <v>40086</v>
      </c>
      <c r="B103" s="11">
        <v>118265101.54625696</v>
      </c>
      <c r="C103" s="11">
        <v>51882562.554750405</v>
      </c>
      <c r="D103" s="15">
        <v>170147664.10100737</v>
      </c>
      <c r="E103" s="11">
        <v>61532.310898156589</v>
      </c>
      <c r="F103" s="11">
        <v>26994.049196019983</v>
      </c>
      <c r="G103" s="15">
        <v>88526.360094176576</v>
      </c>
      <c r="H103" s="13">
        <v>0.69507331864426558</v>
      </c>
      <c r="I103" s="13">
        <v>0.30492668135573442</v>
      </c>
    </row>
    <row r="104" spans="1:9" x14ac:dyDescent="0.3">
      <c r="A104" s="10">
        <v>40117</v>
      </c>
      <c r="B104" s="11">
        <v>120751981.74828909</v>
      </c>
      <c r="C104" s="11">
        <v>56235126.12390361</v>
      </c>
      <c r="D104" s="15">
        <v>176987107.87219271</v>
      </c>
      <c r="E104" s="11">
        <v>60563.738463381029</v>
      </c>
      <c r="F104" s="11">
        <v>28204.998557479994</v>
      </c>
      <c r="G104" s="12">
        <v>88768.737020861023</v>
      </c>
      <c r="H104" s="13">
        <v>0.68226428015020979</v>
      </c>
      <c r="I104" s="13">
        <v>0.31773571984979015</v>
      </c>
    </row>
    <row r="105" spans="1:9" x14ac:dyDescent="0.3">
      <c r="A105" s="10">
        <v>40147</v>
      </c>
      <c r="B105" s="11">
        <v>125090866.3143288</v>
      </c>
      <c r="C105" s="11">
        <v>57694659.56747219</v>
      </c>
      <c r="D105" s="15">
        <v>182785525.88180101</v>
      </c>
      <c r="E105" s="11">
        <v>62624.65334364411</v>
      </c>
      <c r="F105" s="11">
        <v>28883.867876599994</v>
      </c>
      <c r="G105" s="12">
        <v>91508.521220244103</v>
      </c>
      <c r="H105" s="13">
        <v>0.68435870789473408</v>
      </c>
      <c r="I105" s="13">
        <v>0.31564129210526587</v>
      </c>
    </row>
    <row r="106" spans="1:9" x14ac:dyDescent="0.3">
      <c r="A106" s="10">
        <v>40178</v>
      </c>
      <c r="B106" s="11">
        <v>125639747.22691907</v>
      </c>
      <c r="C106" s="11">
        <v>59694422.112222113</v>
      </c>
      <c r="D106" s="15">
        <v>185334169.33914119</v>
      </c>
      <c r="E106" s="11">
        <v>61460.67087701436</v>
      </c>
      <c r="F106" s="11">
        <v>29201.421617049997</v>
      </c>
      <c r="G106" s="12">
        <v>90662.09249406436</v>
      </c>
      <c r="H106" s="13">
        <v>0.67790924725279411</v>
      </c>
      <c r="I106" s="13">
        <v>0.32209075274720589</v>
      </c>
    </row>
    <row r="107" spans="1:9" x14ac:dyDescent="0.3">
      <c r="A107" s="10">
        <v>40209</v>
      </c>
      <c r="B107" s="11">
        <v>127729021.42496493</v>
      </c>
      <c r="C107" s="11">
        <v>58026437.562987939</v>
      </c>
      <c r="D107" s="15">
        <v>185755458.98795289</v>
      </c>
      <c r="E107" s="11">
        <v>64435.083375774957</v>
      </c>
      <c r="F107" s="11">
        <v>29272.426114739992</v>
      </c>
      <c r="G107" s="12">
        <v>93707.509490514945</v>
      </c>
      <c r="H107" s="13">
        <v>0.68761920710631041</v>
      </c>
      <c r="I107" s="13">
        <v>0.31238079289368947</v>
      </c>
    </row>
    <row r="108" spans="1:9" x14ac:dyDescent="0.3">
      <c r="A108" s="10">
        <v>40237</v>
      </c>
      <c r="B108" s="11">
        <v>128602245.84749272</v>
      </c>
      <c r="C108" s="11">
        <v>55559913.468568631</v>
      </c>
      <c r="D108" s="15">
        <v>184162159.31606135</v>
      </c>
      <c r="E108" s="11">
        <v>66553.286126258972</v>
      </c>
      <c r="F108" s="11">
        <v>28752.956792129997</v>
      </c>
      <c r="G108" s="15">
        <v>95306.242918388976</v>
      </c>
      <c r="H108" s="13">
        <v>0.69830982827902222</v>
      </c>
      <c r="I108" s="13">
        <v>0.30169017172097784</v>
      </c>
    </row>
    <row r="109" spans="1:9" x14ac:dyDescent="0.3">
      <c r="A109" s="10">
        <v>40268</v>
      </c>
      <c r="B109" s="11">
        <v>129199888.264623</v>
      </c>
      <c r="C109" s="11">
        <v>55542310.58984866</v>
      </c>
      <c r="D109" s="15">
        <v>184742198.85447165</v>
      </c>
      <c r="E109" s="11">
        <v>66991.889548645908</v>
      </c>
      <c r="F109" s="11">
        <v>28799.439274209999</v>
      </c>
      <c r="G109" s="15">
        <v>95791.32882285591</v>
      </c>
      <c r="H109" s="13">
        <v>0.69935233566424415</v>
      </c>
      <c r="I109" s="13">
        <v>0.3006476643357559</v>
      </c>
    </row>
    <row r="110" spans="1:9" x14ac:dyDescent="0.3">
      <c r="A110" s="10">
        <v>40298</v>
      </c>
      <c r="B110" s="11">
        <v>129492637.44384986</v>
      </c>
      <c r="C110" s="11">
        <v>59095461.735265672</v>
      </c>
      <c r="D110" s="15">
        <v>188588099.17911553</v>
      </c>
      <c r="E110" s="11">
        <v>65740.645992562437</v>
      </c>
      <c r="F110" s="11">
        <v>30001.503609730004</v>
      </c>
      <c r="G110" s="15">
        <v>95742.14960229244</v>
      </c>
      <c r="H110" s="13">
        <v>0.686642677918194</v>
      </c>
      <c r="I110" s="13">
        <v>0.31335732208180594</v>
      </c>
    </row>
    <row r="111" spans="1:9" x14ac:dyDescent="0.3">
      <c r="A111" s="10">
        <v>40329</v>
      </c>
      <c r="B111" s="11">
        <v>129408467.99951814</v>
      </c>
      <c r="C111" s="11">
        <v>58694373.826705657</v>
      </c>
      <c r="D111" s="15">
        <v>188102841.82622379</v>
      </c>
      <c r="E111" s="11">
        <v>65637.933605294384</v>
      </c>
      <c r="F111" s="11">
        <v>29770.674761840004</v>
      </c>
      <c r="G111" s="15">
        <v>95408.60836713438</v>
      </c>
      <c r="H111" s="13">
        <v>0.68796657585359799</v>
      </c>
      <c r="I111" s="13">
        <v>0.31203342414640201</v>
      </c>
    </row>
    <row r="112" spans="1:9" x14ac:dyDescent="0.3">
      <c r="A112" s="10">
        <v>40359</v>
      </c>
      <c r="B112" s="11">
        <v>131337880.40129557</v>
      </c>
      <c r="C112" s="11">
        <v>57356296.929828525</v>
      </c>
      <c r="D112" s="15">
        <v>188694177.3311241</v>
      </c>
      <c r="E112" s="11">
        <v>68531.500997305222</v>
      </c>
      <c r="F112" s="11">
        <v>29928.251531380003</v>
      </c>
      <c r="G112" s="15">
        <v>98459.752528685232</v>
      </c>
      <c r="H112" s="13">
        <v>0.69603568196395049</v>
      </c>
      <c r="I112" s="13">
        <v>0.30396431803604951</v>
      </c>
    </row>
    <row r="113" spans="1:9" x14ac:dyDescent="0.3">
      <c r="A113" s="10">
        <v>40390</v>
      </c>
      <c r="B113" s="11">
        <v>133551850.98283531</v>
      </c>
      <c r="C113" s="11">
        <v>55065090.267541401</v>
      </c>
      <c r="D113" s="15">
        <v>188616941.2503767</v>
      </c>
      <c r="E113" s="11">
        <v>72529.313266264056</v>
      </c>
      <c r="F113" s="11">
        <v>29904.738516599995</v>
      </c>
      <c r="G113" s="15">
        <v>102434.05178286406</v>
      </c>
      <c r="H113" s="13">
        <v>0.70805861921784596</v>
      </c>
      <c r="I113" s="13">
        <v>0.29194138078215404</v>
      </c>
    </row>
    <row r="114" spans="1:9" x14ac:dyDescent="0.3">
      <c r="A114" s="10">
        <v>40421</v>
      </c>
      <c r="B114" s="11">
        <v>136364647.58715189</v>
      </c>
      <c r="C114" s="11">
        <v>55597644.84294647</v>
      </c>
      <c r="D114" s="15">
        <v>191962292.43009835</v>
      </c>
      <c r="E114" s="11">
        <v>74771.978235467715</v>
      </c>
      <c r="F114" s="11">
        <v>30485.510458149995</v>
      </c>
      <c r="G114" s="15">
        <v>105257.48869361771</v>
      </c>
      <c r="H114" s="13">
        <v>0.71037205203625109</v>
      </c>
      <c r="I114" s="13">
        <v>0.28962794796374886</v>
      </c>
    </row>
    <row r="115" spans="1:9" x14ac:dyDescent="0.3">
      <c r="A115" s="10">
        <v>40451</v>
      </c>
      <c r="B115" s="11">
        <v>134280437.14063859</v>
      </c>
      <c r="C115" s="11">
        <v>55240381.869982168</v>
      </c>
      <c r="D115" s="15">
        <v>189520819.01062077</v>
      </c>
      <c r="E115" s="11">
        <v>74604.802038257112</v>
      </c>
      <c r="F115" s="11">
        <v>30690.976598560002</v>
      </c>
      <c r="G115" s="15">
        <v>105295.77863681712</v>
      </c>
      <c r="H115" s="13">
        <v>0.70852604923110585</v>
      </c>
      <c r="I115" s="13">
        <v>0.2914739507688941</v>
      </c>
    </row>
    <row r="116" spans="1:9" x14ac:dyDescent="0.3">
      <c r="A116" s="10">
        <v>40482</v>
      </c>
      <c r="B116" s="11">
        <v>136440575.15192899</v>
      </c>
      <c r="C116" s="11">
        <v>56811157.51996626</v>
      </c>
      <c r="D116" s="15">
        <v>193251732.671895</v>
      </c>
      <c r="E116" s="11">
        <v>74156.516741088635</v>
      </c>
      <c r="F116" s="11">
        <v>30877.30720146</v>
      </c>
      <c r="G116" s="15">
        <v>105033.82394254864</v>
      </c>
      <c r="H116" s="13">
        <v>0.70602510655663397</v>
      </c>
      <c r="I116" s="13">
        <v>0.29397489344336597</v>
      </c>
    </row>
    <row r="117" spans="1:9" x14ac:dyDescent="0.3">
      <c r="A117" s="10">
        <v>40512</v>
      </c>
      <c r="B117" s="11">
        <v>137408431.98658863</v>
      </c>
      <c r="C117" s="11">
        <v>58523143.040842503</v>
      </c>
      <c r="D117" s="15">
        <v>195931575.02743113</v>
      </c>
      <c r="E117" s="11">
        <v>71680.385603553863</v>
      </c>
      <c r="F117" s="11">
        <v>30529.141474439999</v>
      </c>
      <c r="G117" s="15">
        <v>102209.527077994</v>
      </c>
      <c r="H117" s="13">
        <v>0.70130826012780711</v>
      </c>
      <c r="I117" s="13">
        <v>0.29869173987219289</v>
      </c>
    </row>
    <row r="118" spans="1:9" x14ac:dyDescent="0.3">
      <c r="A118" s="10">
        <v>40543</v>
      </c>
      <c r="B118" s="11">
        <v>143534231.0976536</v>
      </c>
      <c r="C118" s="11">
        <v>59306054.904884927</v>
      </c>
      <c r="D118" s="15">
        <v>202840286.00253853</v>
      </c>
      <c r="E118" s="11">
        <v>74992.544905199422</v>
      </c>
      <c r="F118" s="11">
        <v>30985.723416590001</v>
      </c>
      <c r="G118" s="15">
        <v>105978.26832178942</v>
      </c>
      <c r="H118" s="13">
        <v>0.70762191242353734</v>
      </c>
      <c r="I118" s="13">
        <v>0.29237808757646255</v>
      </c>
    </row>
    <row r="119" spans="1:9" x14ac:dyDescent="0.3">
      <c r="A119" s="10">
        <v>40574</v>
      </c>
      <c r="B119" s="11">
        <v>138256172.77755001</v>
      </c>
      <c r="C119" s="11">
        <v>57866641.587261178</v>
      </c>
      <c r="D119" s="15">
        <v>196122814.364811</v>
      </c>
      <c r="E119" s="11">
        <v>74412.088815568437</v>
      </c>
      <c r="F119" s="11">
        <v>31144.921682290002</v>
      </c>
      <c r="G119" s="15">
        <v>105557.01049785844</v>
      </c>
      <c r="H119" s="13">
        <v>0.70494691413298527</v>
      </c>
      <c r="I119" s="13">
        <v>0.29505308586701479</v>
      </c>
    </row>
    <row r="120" spans="1:9" x14ac:dyDescent="0.3">
      <c r="A120" s="10">
        <v>40602</v>
      </c>
      <c r="B120" s="11">
        <v>140291720.31538704</v>
      </c>
      <c r="C120" s="11">
        <v>58814395.331597432</v>
      </c>
      <c r="D120" s="15">
        <v>199106115.64698446</v>
      </c>
      <c r="E120" s="11">
        <v>74010.698851730907</v>
      </c>
      <c r="F120" s="11">
        <v>31027.451165670005</v>
      </c>
      <c r="G120" s="15">
        <v>105038.15001740091</v>
      </c>
      <c r="H120" s="13">
        <v>0.70460779097375659</v>
      </c>
      <c r="I120" s="13">
        <v>0.29539220902624341</v>
      </c>
    </row>
    <row r="121" spans="1:9" x14ac:dyDescent="0.3">
      <c r="A121" s="10">
        <v>40633</v>
      </c>
      <c r="B121" s="11">
        <v>141918757.21490705</v>
      </c>
      <c r="C121" s="11">
        <v>58372274.555211447</v>
      </c>
      <c r="D121" s="15">
        <v>200291031.77011901</v>
      </c>
      <c r="E121" s="11">
        <v>75509.988036471477</v>
      </c>
      <c r="F121" s="11">
        <v>31057.837877280002</v>
      </c>
      <c r="G121" s="15">
        <v>106567.82591375148</v>
      </c>
      <c r="H121" s="13">
        <v>0.70856271476893939</v>
      </c>
      <c r="I121" s="13">
        <v>0.29143728523106061</v>
      </c>
    </row>
    <row r="122" spans="1:9" x14ac:dyDescent="0.3">
      <c r="A122" s="10">
        <v>40663</v>
      </c>
      <c r="B122" s="11">
        <v>145262271.19051355</v>
      </c>
      <c r="C122" s="11">
        <v>55506746.601131961</v>
      </c>
      <c r="D122" s="15">
        <v>200769017.79164553</v>
      </c>
      <c r="E122" s="11">
        <v>82183.300627150471</v>
      </c>
      <c r="F122" s="11">
        <v>31403.389230870001</v>
      </c>
      <c r="G122" s="15">
        <v>113586.68985802047</v>
      </c>
      <c r="H122" s="13">
        <v>0.72352932134809822</v>
      </c>
      <c r="I122" s="13">
        <v>0.27647067865190167</v>
      </c>
    </row>
    <row r="123" spans="1:9" x14ac:dyDescent="0.3">
      <c r="A123" s="10">
        <v>40694</v>
      </c>
      <c r="B123" s="11">
        <v>140207402.15552816</v>
      </c>
      <c r="C123" s="11">
        <v>55810203.25900808</v>
      </c>
      <c r="D123" s="15">
        <v>196017605.41453624</v>
      </c>
      <c r="E123" s="11">
        <v>77149.791539023063</v>
      </c>
      <c r="F123" s="11">
        <v>30709.830443949995</v>
      </c>
      <c r="G123" s="15">
        <v>107859.62198297305</v>
      </c>
      <c r="H123" s="13">
        <v>0.71527963959675367</v>
      </c>
      <c r="I123" s="13">
        <v>0.28472036040324628</v>
      </c>
    </row>
    <row r="124" spans="1:9" x14ac:dyDescent="0.3">
      <c r="A124" s="10">
        <v>40724</v>
      </c>
      <c r="B124" s="11">
        <v>140723785.57385731</v>
      </c>
      <c r="C124" s="11">
        <v>54770037.483688205</v>
      </c>
      <c r="D124" s="15">
        <v>195493823.05754551</v>
      </c>
      <c r="E124" s="11">
        <v>79051.200776254555</v>
      </c>
      <c r="F124" s="11">
        <v>30766.918413899988</v>
      </c>
      <c r="G124" s="15">
        <v>109818.11919015454</v>
      </c>
      <c r="H124" s="13">
        <v>0.7198375036761846</v>
      </c>
      <c r="I124" s="13">
        <v>0.28016249632381535</v>
      </c>
    </row>
    <row r="125" spans="1:9" x14ac:dyDescent="0.3">
      <c r="A125" s="10">
        <v>40755</v>
      </c>
      <c r="B125" s="11">
        <v>142649913.94095564</v>
      </c>
      <c r="C125" s="11">
        <v>58062873.745896019</v>
      </c>
      <c r="D125" s="15">
        <v>200712787.68685165</v>
      </c>
      <c r="E125" s="11">
        <v>80540.842921805364</v>
      </c>
      <c r="F125" s="11">
        <v>32782.584053239996</v>
      </c>
      <c r="G125" s="15">
        <v>113323.42697504535</v>
      </c>
      <c r="H125" s="13">
        <v>0.71071661942892927</v>
      </c>
      <c r="I125" s="13">
        <v>0.28928338057107078</v>
      </c>
    </row>
    <row r="126" spans="1:9" x14ac:dyDescent="0.3">
      <c r="A126" s="10">
        <v>40786</v>
      </c>
      <c r="B126" s="11">
        <v>145502171.72358668</v>
      </c>
      <c r="C126" s="11">
        <v>58420183.519118153</v>
      </c>
      <c r="D126" s="15">
        <v>203922355.24270484</v>
      </c>
      <c r="E126" s="11">
        <v>81575.060114364096</v>
      </c>
      <c r="F126" s="11">
        <v>32752.981800969999</v>
      </c>
      <c r="G126" s="15">
        <v>114328.04191533409</v>
      </c>
      <c r="H126" s="13">
        <v>0.71351751283184484</v>
      </c>
      <c r="I126" s="13">
        <v>0.28648248716815511</v>
      </c>
    </row>
    <row r="127" spans="1:9" x14ac:dyDescent="0.3">
      <c r="A127" s="10">
        <v>40816</v>
      </c>
      <c r="B127" s="11">
        <v>145933902.1315977</v>
      </c>
      <c r="C127" s="11">
        <v>62443836.979088537</v>
      </c>
      <c r="D127" s="15">
        <v>208377739.11068624</v>
      </c>
      <c r="E127" s="11">
        <v>75652.61904178212</v>
      </c>
      <c r="F127" s="11">
        <v>32371.092264949995</v>
      </c>
      <c r="G127" s="15">
        <v>108023.71130673212</v>
      </c>
      <c r="H127" s="13">
        <v>0.70033345574442774</v>
      </c>
      <c r="I127" s="13">
        <v>0.29966654425557221</v>
      </c>
    </row>
    <row r="128" spans="1:9" x14ac:dyDescent="0.3">
      <c r="A128" s="10">
        <v>40847</v>
      </c>
      <c r="B128" s="11">
        <v>147285977.359404</v>
      </c>
      <c r="C128" s="11">
        <v>60767253.275181584</v>
      </c>
      <c r="D128" s="15">
        <v>208053230.63458559</v>
      </c>
      <c r="E128" s="11">
        <v>79055.949545051684</v>
      </c>
      <c r="F128" s="11">
        <v>32616.906205480009</v>
      </c>
      <c r="G128" s="15">
        <v>111672.85575053169</v>
      </c>
      <c r="H128" s="13">
        <v>0.70792449081499631</v>
      </c>
      <c r="I128" s="13">
        <v>0.29207550918500363</v>
      </c>
    </row>
    <row r="129" spans="1:9" x14ac:dyDescent="0.3">
      <c r="A129" s="10">
        <v>40877</v>
      </c>
      <c r="B129" s="11">
        <v>148031373.32259506</v>
      </c>
      <c r="C129" s="11">
        <v>63893220.653718755</v>
      </c>
      <c r="D129" s="15">
        <v>211924593.97631383</v>
      </c>
      <c r="E129" s="11">
        <v>75250.548156546458</v>
      </c>
      <c r="F129" s="11">
        <v>32479.600572249998</v>
      </c>
      <c r="G129" s="15">
        <v>107730.14872879646</v>
      </c>
      <c r="H129" s="13">
        <v>0.69850964696971451</v>
      </c>
      <c r="I129" s="13">
        <v>0.30149035303028543</v>
      </c>
    </row>
    <row r="130" spans="1:9" x14ac:dyDescent="0.3">
      <c r="A130" s="10">
        <v>40878</v>
      </c>
      <c r="B130" s="11">
        <v>150713296.31648323</v>
      </c>
      <c r="C130" s="11">
        <v>63980291.740931503</v>
      </c>
      <c r="D130" s="15">
        <v>214693588.05741474</v>
      </c>
      <c r="E130" s="11">
        <v>77579.294958811559</v>
      </c>
      <c r="F130" s="11">
        <v>32933.696268559994</v>
      </c>
      <c r="G130" s="15">
        <v>110512.99122737156</v>
      </c>
      <c r="H130" s="13">
        <v>0.70199253587479526</v>
      </c>
      <c r="I130" s="13">
        <v>0.29800746412520474</v>
      </c>
    </row>
    <row r="131" spans="1:9" x14ac:dyDescent="0.3">
      <c r="A131" s="10">
        <v>40909</v>
      </c>
      <c r="B131" s="11">
        <v>149309476.95885521</v>
      </c>
      <c r="C131" s="11">
        <v>61312289.135329708</v>
      </c>
      <c r="D131" s="15">
        <v>210621766.09418496</v>
      </c>
      <c r="E131" s="11">
        <v>82260.548823663528</v>
      </c>
      <c r="F131" s="11">
        <v>33779.386658069998</v>
      </c>
      <c r="G131" s="15">
        <v>116039.93548173351</v>
      </c>
      <c r="H131" s="13">
        <v>0.71211675593958901</v>
      </c>
      <c r="I131" s="13">
        <v>0.28788324406041105</v>
      </c>
    </row>
    <row r="132" spans="1:9" x14ac:dyDescent="0.3">
      <c r="A132" s="10">
        <v>40940</v>
      </c>
      <c r="B132" s="11">
        <v>152133600.35957208</v>
      </c>
      <c r="C132" s="11">
        <v>58904732.470003232</v>
      </c>
      <c r="D132" s="15">
        <v>211038332.8295753</v>
      </c>
      <c r="E132" s="11">
        <v>86056.691174814376</v>
      </c>
      <c r="F132" s="11">
        <v>33320.360255229993</v>
      </c>
      <c r="G132" s="15">
        <v>119377.05143004438</v>
      </c>
      <c r="H132" s="13">
        <v>0.72088135989222424</v>
      </c>
      <c r="I132" s="13">
        <v>0.27911864010777576</v>
      </c>
    </row>
    <row r="133" spans="1:9" x14ac:dyDescent="0.3">
      <c r="A133" s="10">
        <v>40969</v>
      </c>
      <c r="B133" s="11">
        <v>152389175.21561873</v>
      </c>
      <c r="C133" s="11">
        <v>59284387.376865819</v>
      </c>
      <c r="D133" s="15">
        <v>211673562.59248453</v>
      </c>
      <c r="E133" s="11">
        <v>85388.351403415058</v>
      </c>
      <c r="F133" s="11">
        <v>33218.869351509988</v>
      </c>
      <c r="G133" s="15">
        <v>118607.22075492505</v>
      </c>
      <c r="H133" s="13">
        <v>0.71992540470913446</v>
      </c>
      <c r="I133" s="13">
        <v>0.28007459529086565</v>
      </c>
    </row>
    <row r="134" spans="1:9" x14ac:dyDescent="0.3">
      <c r="A134" s="10">
        <v>41000</v>
      </c>
      <c r="B134" s="11">
        <v>151928372.71537203</v>
      </c>
      <c r="C134" s="11">
        <v>58696879.440780565</v>
      </c>
      <c r="D134" s="15">
        <v>210625252.15615261</v>
      </c>
      <c r="E134" s="11">
        <v>86264.12259560074</v>
      </c>
      <c r="F134" s="11">
        <v>33327.776198489984</v>
      </c>
      <c r="G134" s="15">
        <v>119591.89879409072</v>
      </c>
      <c r="H134" s="13">
        <v>0.72132078732295546</v>
      </c>
      <c r="I134" s="13">
        <v>0.27867921267704443</v>
      </c>
    </row>
    <row r="135" spans="1:9" x14ac:dyDescent="0.3">
      <c r="A135" s="10">
        <v>41030</v>
      </c>
      <c r="B135" s="11">
        <v>151917942.34102231</v>
      </c>
      <c r="C135" s="11">
        <v>60219982.160049155</v>
      </c>
      <c r="D135" s="15">
        <v>212137924.50107145</v>
      </c>
      <c r="E135" s="11">
        <v>83113.824776386376</v>
      </c>
      <c r="F135" s="11">
        <v>32946.161382650003</v>
      </c>
      <c r="G135" s="15">
        <v>116059.98615903637</v>
      </c>
      <c r="H135" s="13">
        <v>0.71612816377985733</v>
      </c>
      <c r="I135" s="13">
        <v>0.28387183622014273</v>
      </c>
    </row>
    <row r="136" spans="1:9" x14ac:dyDescent="0.3">
      <c r="A136" s="10">
        <v>41061</v>
      </c>
      <c r="B136" s="11">
        <v>152228870.78817984</v>
      </c>
      <c r="C136" s="11">
        <v>59567472.480821647</v>
      </c>
      <c r="D136" s="15">
        <v>211796343.26900148</v>
      </c>
      <c r="E136" s="11">
        <v>84309.299284547989</v>
      </c>
      <c r="F136" s="11">
        <v>32990.40345636999</v>
      </c>
      <c r="G136" s="15">
        <v>117299.70274091797</v>
      </c>
      <c r="H136" s="13">
        <v>0.71875117595790927</v>
      </c>
      <c r="I136" s="13">
        <v>0.28124882404209073</v>
      </c>
    </row>
    <row r="137" spans="1:9" x14ac:dyDescent="0.3">
      <c r="A137" s="10">
        <v>41091</v>
      </c>
      <c r="B137" s="11">
        <v>154044907.6774804</v>
      </c>
      <c r="C137" s="11">
        <v>58944256.902967967</v>
      </c>
      <c r="D137" s="15">
        <v>212989164.58044836</v>
      </c>
      <c r="E137" s="11">
        <v>86105.749336217821</v>
      </c>
      <c r="F137" s="11">
        <v>32947.790915119993</v>
      </c>
      <c r="G137" s="15">
        <v>119053.54025133781</v>
      </c>
      <c r="H137" s="13">
        <v>0.72325232121982397</v>
      </c>
      <c r="I137" s="13">
        <v>0.27674767878017603</v>
      </c>
    </row>
    <row r="138" spans="1:9" x14ac:dyDescent="0.3">
      <c r="A138" s="10">
        <v>41122</v>
      </c>
      <c r="B138" s="11">
        <v>151933235.58677089</v>
      </c>
      <c r="C138" s="11">
        <v>60050770.712265857</v>
      </c>
      <c r="D138" s="15">
        <v>211984006.29903674</v>
      </c>
      <c r="E138" s="11">
        <v>83000.948149014424</v>
      </c>
      <c r="F138" s="11">
        <v>32805.665507929996</v>
      </c>
      <c r="G138" s="15">
        <v>115806.61365694442</v>
      </c>
      <c r="H138" s="13">
        <v>0.71672027639880154</v>
      </c>
      <c r="I138" s="13">
        <v>0.28327972360119852</v>
      </c>
    </row>
    <row r="139" spans="1:9" x14ac:dyDescent="0.3">
      <c r="A139" s="10">
        <v>41182</v>
      </c>
      <c r="B139" s="11">
        <v>152577367.99065548</v>
      </c>
      <c r="C139" s="11">
        <v>60125045.113651752</v>
      </c>
      <c r="D139" s="15">
        <v>212702413.10430723</v>
      </c>
      <c r="E139" s="11">
        <v>84855.717204270943</v>
      </c>
      <c r="F139" s="11">
        <v>33438.470542829993</v>
      </c>
      <c r="G139" s="15">
        <v>118294.18774710094</v>
      </c>
      <c r="H139" s="13">
        <v>0.71732786555568129</v>
      </c>
      <c r="I139" s="13">
        <v>0.28267213444431871</v>
      </c>
    </row>
    <row r="140" spans="1:9" x14ac:dyDescent="0.3">
      <c r="A140" s="10">
        <v>41213</v>
      </c>
      <c r="B140" s="11">
        <v>152143040.7909686</v>
      </c>
      <c r="C140" s="11">
        <v>61002777.01929675</v>
      </c>
      <c r="D140" s="15">
        <v>213145817.81026536</v>
      </c>
      <c r="E140" s="11">
        <v>83143.271339243671</v>
      </c>
      <c r="F140" s="11">
        <v>33336.854684869992</v>
      </c>
      <c r="G140" s="15">
        <v>116480.12602411366</v>
      </c>
      <c r="H140" s="13">
        <v>0.71379791709730278</v>
      </c>
      <c r="I140" s="13">
        <v>0.28620208290269716</v>
      </c>
    </row>
    <row r="141" spans="1:9" x14ac:dyDescent="0.3">
      <c r="A141" s="10">
        <v>41243</v>
      </c>
      <c r="B141" s="11">
        <v>154961324.57608467</v>
      </c>
      <c r="C141" s="11">
        <v>60275410.638048492</v>
      </c>
      <c r="D141" s="15">
        <v>215236735.21413317</v>
      </c>
      <c r="E141" s="11">
        <v>85240.534330851384</v>
      </c>
      <c r="F141" s="11">
        <v>33156.067966340008</v>
      </c>
      <c r="G141" s="15">
        <v>118396.60229719139</v>
      </c>
      <c r="H141" s="13">
        <v>0.71995760585161206</v>
      </c>
      <c r="I141" s="13">
        <v>0.28004239414838794</v>
      </c>
    </row>
    <row r="142" spans="1:9" x14ac:dyDescent="0.3">
      <c r="A142" s="10">
        <v>41274</v>
      </c>
      <c r="B142" s="11">
        <v>156770236.88398901</v>
      </c>
      <c r="C142" s="11">
        <v>59519174.609242201</v>
      </c>
      <c r="D142" s="15">
        <v>216289411.49323121</v>
      </c>
      <c r="E142" s="11">
        <v>88659.414716405299</v>
      </c>
      <c r="F142" s="11">
        <v>33660.312634239999</v>
      </c>
      <c r="G142" s="15">
        <v>122319.72735064532</v>
      </c>
      <c r="H142" s="13">
        <v>0.72481697463444827</v>
      </c>
      <c r="I142" s="13">
        <v>0.27518302536555167</v>
      </c>
    </row>
    <row r="143" spans="1:9" x14ac:dyDescent="0.3">
      <c r="A143" s="16">
        <v>41275</v>
      </c>
      <c r="B143" s="11">
        <v>157088832.22751099</v>
      </c>
      <c r="C143" s="11">
        <v>60385932.630992703</v>
      </c>
      <c r="D143" s="15">
        <v>217474764.858504</v>
      </c>
      <c r="E143" s="11">
        <v>88588.590505239699</v>
      </c>
      <c r="F143" s="11">
        <v>34054.009965370002</v>
      </c>
      <c r="G143" s="15">
        <v>122642.60047061001</v>
      </c>
      <c r="H143" s="13">
        <v>0.72233131200173195</v>
      </c>
      <c r="I143" s="13">
        <v>0.27766868799826799</v>
      </c>
    </row>
    <row r="144" spans="1:9" x14ac:dyDescent="0.3">
      <c r="A144" s="16">
        <v>41306</v>
      </c>
      <c r="B144" s="11">
        <v>160617065.76026973</v>
      </c>
      <c r="C144" s="11">
        <v>61469337.068306446</v>
      </c>
      <c r="D144" s="15">
        <v>222086402.82857618</v>
      </c>
      <c r="E144" s="11">
        <v>88425.070061037492</v>
      </c>
      <c r="F144" s="11">
        <v>33840.927246069987</v>
      </c>
      <c r="G144" s="15">
        <v>122265.99730710748</v>
      </c>
      <c r="H144" s="13">
        <v>0.72321881805725252</v>
      </c>
      <c r="I144" s="13">
        <v>0.27678118194274748</v>
      </c>
    </row>
    <row r="145" spans="1:9" x14ac:dyDescent="0.3">
      <c r="A145" s="16">
        <v>41364</v>
      </c>
      <c r="B145" s="11">
        <v>162795308.24115944</v>
      </c>
      <c r="C145" s="11">
        <v>61714008.757807396</v>
      </c>
      <c r="D145" s="15">
        <v>224509316.99896684</v>
      </c>
      <c r="E145" s="11">
        <v>89010.256289761572</v>
      </c>
      <c r="F145" s="11">
        <v>33742.862712379996</v>
      </c>
      <c r="G145" s="15">
        <v>122753.11900214157</v>
      </c>
      <c r="H145" s="13">
        <v>0.72511604603878688</v>
      </c>
      <c r="I145" s="13">
        <v>0.27488395396121307</v>
      </c>
    </row>
    <row r="146" spans="1:9" x14ac:dyDescent="0.3">
      <c r="A146" s="16">
        <v>41394</v>
      </c>
      <c r="B146" s="11">
        <v>161426030.29863778</v>
      </c>
      <c r="C146" s="11">
        <v>61697809.015302777</v>
      </c>
      <c r="D146" s="15">
        <v>223123839.31394055</v>
      </c>
      <c r="E146" s="11">
        <v>88269.30937868086</v>
      </c>
      <c r="F146" s="11">
        <v>33736.956684639998</v>
      </c>
      <c r="G146" s="15">
        <v>122006.26606332086</v>
      </c>
      <c r="H146" s="13">
        <v>0.72348177045980067</v>
      </c>
      <c r="I146" s="13">
        <v>0.27651822954019939</v>
      </c>
    </row>
    <row r="147" spans="1:9" x14ac:dyDescent="0.3">
      <c r="A147" s="16">
        <v>41425</v>
      </c>
      <c r="B147" s="11">
        <v>161038520.98083526</v>
      </c>
      <c r="C147" s="11">
        <v>63062721.759932451</v>
      </c>
      <c r="D147" s="15">
        <v>224101242.74076772</v>
      </c>
      <c r="E147" s="11">
        <v>85138.897044026511</v>
      </c>
      <c r="F147" s="11">
        <v>33340.411614150005</v>
      </c>
      <c r="G147" s="15">
        <v>118479.30865817651</v>
      </c>
      <c r="H147" s="13">
        <v>0.71859717961099767</v>
      </c>
      <c r="I147" s="13">
        <v>0.28140282038900222</v>
      </c>
    </row>
    <row r="148" spans="1:9" x14ac:dyDescent="0.3">
      <c r="A148" s="16">
        <v>41455</v>
      </c>
      <c r="B148" s="11">
        <v>161506406.54608756</v>
      </c>
      <c r="C148" s="11">
        <v>63775756.051844962</v>
      </c>
      <c r="D148" s="15">
        <v>225282162.59793252</v>
      </c>
      <c r="E148" s="11">
        <v>84002.853667157775</v>
      </c>
      <c r="F148" s="11">
        <v>33171.102111089996</v>
      </c>
      <c r="G148" s="15">
        <v>117173.95577824776</v>
      </c>
      <c r="H148" s="13">
        <v>0.71690720953497167</v>
      </c>
      <c r="I148" s="13">
        <v>0.28309279046502839</v>
      </c>
    </row>
    <row r="149" spans="1:9" x14ac:dyDescent="0.3">
      <c r="A149" s="16">
        <v>41486</v>
      </c>
      <c r="B149" s="11">
        <v>165366330.55910441</v>
      </c>
      <c r="C149" s="11">
        <v>62830021.314390451</v>
      </c>
      <c r="D149" s="15">
        <v>228196351.87349486</v>
      </c>
      <c r="E149" s="11">
        <v>87480.138684306134</v>
      </c>
      <c r="F149" s="11">
        <v>33237.594131389997</v>
      </c>
      <c r="G149" s="15">
        <v>120717.73281569613</v>
      </c>
      <c r="H149" s="13">
        <v>0.7246668459046115</v>
      </c>
      <c r="I149" s="13">
        <v>0.27533315409538844</v>
      </c>
    </row>
    <row r="150" spans="1:9" x14ac:dyDescent="0.3">
      <c r="A150" s="16">
        <v>41517</v>
      </c>
      <c r="B150" s="11">
        <v>169055200.0091067</v>
      </c>
      <c r="C150" s="11">
        <v>64693839.549436428</v>
      </c>
      <c r="D150" s="15">
        <v>233749039.55854312</v>
      </c>
      <c r="E150" s="11">
        <v>87005.517132486566</v>
      </c>
      <c r="F150" s="11">
        <v>33295.166105400007</v>
      </c>
      <c r="G150" s="15">
        <v>120300.68323788658</v>
      </c>
      <c r="H150" s="13">
        <v>0.7232337738301865</v>
      </c>
      <c r="I150" s="13">
        <v>0.2767662261698135</v>
      </c>
    </row>
    <row r="151" spans="1:9" x14ac:dyDescent="0.3">
      <c r="A151" s="16">
        <v>41547</v>
      </c>
      <c r="B151" s="11">
        <v>173323596.39068246</v>
      </c>
      <c r="C151" s="11">
        <v>67951859.989899993</v>
      </c>
      <c r="D151" s="15">
        <v>241275456.38058245</v>
      </c>
      <c r="E151" s="11">
        <v>90524.950456053295</v>
      </c>
      <c r="F151" s="11">
        <v>35490.48650662</v>
      </c>
      <c r="G151" s="15">
        <v>126015.4369626733</v>
      </c>
      <c r="H151" s="13">
        <v>0.71836397696948395</v>
      </c>
      <c r="I151" s="13">
        <v>0.28163602303051605</v>
      </c>
    </row>
    <row r="152" spans="1:9" x14ac:dyDescent="0.3">
      <c r="A152" s="16">
        <v>41578</v>
      </c>
      <c r="B152" s="11">
        <v>176578184.84857079</v>
      </c>
      <c r="C152" s="11">
        <v>67028443.222957551</v>
      </c>
      <c r="D152" s="15">
        <v>243606628.07152835</v>
      </c>
      <c r="E152" s="11">
        <v>93722.166411139129</v>
      </c>
      <c r="F152" s="11">
        <v>35576.596935850001</v>
      </c>
      <c r="G152" s="15">
        <v>129298.76334698913</v>
      </c>
      <c r="H152" s="13">
        <v>0.72484967361694075</v>
      </c>
      <c r="I152" s="13">
        <v>0.27515032638305925</v>
      </c>
    </row>
    <row r="153" spans="1:9" x14ac:dyDescent="0.3">
      <c r="A153" s="16">
        <v>41608</v>
      </c>
      <c r="B153" s="11">
        <v>174537472.3792288</v>
      </c>
      <c r="C153" s="11">
        <v>67924833.736768171</v>
      </c>
      <c r="D153" s="15">
        <v>242462306.11599696</v>
      </c>
      <c r="E153" s="11">
        <v>90515.99760364517</v>
      </c>
      <c r="F153" s="11">
        <v>35226.155185669995</v>
      </c>
      <c r="G153" s="15">
        <v>125742.15278931517</v>
      </c>
      <c r="H153" s="13">
        <v>0.71985404731623692</v>
      </c>
      <c r="I153" s="13">
        <v>0.28014595268376313</v>
      </c>
    </row>
    <row r="154" spans="1:9" x14ac:dyDescent="0.3">
      <c r="A154" s="16">
        <v>41639</v>
      </c>
      <c r="B154" s="11">
        <v>180640182.34028035</v>
      </c>
      <c r="C154" s="11">
        <v>68719143.631469116</v>
      </c>
      <c r="D154" s="15">
        <v>249359325.97174948</v>
      </c>
      <c r="E154" s="11">
        <v>93749.932448778753</v>
      </c>
      <c r="F154" s="11">
        <v>35664.352138729999</v>
      </c>
      <c r="G154" s="15">
        <v>129414.28458750875</v>
      </c>
      <c r="H154" s="13">
        <v>0.72441719047935471</v>
      </c>
      <c r="I154" s="13">
        <v>0.27558280952064523</v>
      </c>
    </row>
    <row r="155" spans="1:9" x14ac:dyDescent="0.3">
      <c r="A155" s="16">
        <v>41670</v>
      </c>
      <c r="B155" s="11">
        <v>177564823.06683302</v>
      </c>
      <c r="C155" s="11">
        <v>75180629.918272331</v>
      </c>
      <c r="D155" s="15">
        <v>252745452.98510534</v>
      </c>
      <c r="E155" s="11">
        <v>88417.248297945989</v>
      </c>
      <c r="F155" s="11">
        <v>37435.705495440001</v>
      </c>
      <c r="G155" s="15">
        <v>125852.953793386</v>
      </c>
      <c r="H155" s="13">
        <v>0.70254408524333445</v>
      </c>
      <c r="I155" s="13">
        <v>0.29745591475666561</v>
      </c>
    </row>
    <row r="156" spans="1:9" x14ac:dyDescent="0.3">
      <c r="A156" s="16">
        <v>41698</v>
      </c>
      <c r="B156" s="11">
        <v>180835085.05285269</v>
      </c>
      <c r="C156" s="11">
        <v>76678591.532125011</v>
      </c>
      <c r="D156" s="15">
        <v>257513676.58497769</v>
      </c>
      <c r="E156" s="11">
        <v>88001.890628669367</v>
      </c>
      <c r="F156" s="11">
        <v>37314.999042349998</v>
      </c>
      <c r="G156" s="15">
        <v>125316.88967101937</v>
      </c>
      <c r="H156" s="13">
        <v>0.70223487719565214</v>
      </c>
      <c r="I156" s="13">
        <v>0.29776512280434791</v>
      </c>
    </row>
    <row r="157" spans="1:9" x14ac:dyDescent="0.3">
      <c r="A157" s="16">
        <v>41729</v>
      </c>
      <c r="B157" s="11">
        <v>186652561.58059865</v>
      </c>
      <c r="C157" s="11">
        <v>73623532.876875296</v>
      </c>
      <c r="D157" s="15">
        <v>260276094.45747393</v>
      </c>
      <c r="E157" s="11">
        <v>94973.114597418564</v>
      </c>
      <c r="F157" s="11">
        <v>37461.346181220004</v>
      </c>
      <c r="G157" s="15">
        <v>132434.46077863857</v>
      </c>
      <c r="H157" s="13">
        <v>0.71713294288383256</v>
      </c>
      <c r="I157" s="13">
        <v>0.28286705711616755</v>
      </c>
    </row>
    <row r="158" spans="1:9" x14ac:dyDescent="0.3">
      <c r="A158" s="16">
        <v>41759</v>
      </c>
      <c r="B158" s="11">
        <v>190792944.83960074</v>
      </c>
      <c r="C158" s="11">
        <v>72620679.108229458</v>
      </c>
      <c r="D158" s="15">
        <v>263413623.9478302</v>
      </c>
      <c r="E158" s="11">
        <v>98593.871678328564</v>
      </c>
      <c r="F158" s="11">
        <v>37527.351565379999</v>
      </c>
      <c r="G158" s="15">
        <v>136121.22324370855</v>
      </c>
      <c r="H158" s="13">
        <v>0.72430932758963074</v>
      </c>
      <c r="I158" s="13">
        <v>0.27569067241036926</v>
      </c>
    </row>
    <row r="159" spans="1:9" x14ac:dyDescent="0.3">
      <c r="A159" s="16">
        <v>41790</v>
      </c>
      <c r="B159" s="11">
        <v>184291347.86996517</v>
      </c>
      <c r="C159" s="11">
        <v>70899952.872108862</v>
      </c>
      <c r="D159" s="15">
        <v>255191300.74207401</v>
      </c>
      <c r="E159" s="11">
        <v>96692.138276755635</v>
      </c>
      <c r="F159" s="11">
        <v>37199.077038399999</v>
      </c>
      <c r="G159" s="15">
        <v>133891.21531515563</v>
      </c>
      <c r="H159" s="13">
        <v>0.72216939736606234</v>
      </c>
      <c r="I159" s="13">
        <v>0.27783060263393772</v>
      </c>
    </row>
    <row r="160" spans="1:9" x14ac:dyDescent="0.3">
      <c r="A160" s="16">
        <v>41820</v>
      </c>
      <c r="B160" s="11">
        <v>190085916.22967842</v>
      </c>
      <c r="C160" s="11">
        <v>70064204.647701547</v>
      </c>
      <c r="D160" s="15">
        <v>260150120.87737995</v>
      </c>
      <c r="E160" s="11">
        <v>100787.33210835489</v>
      </c>
      <c r="F160" s="11">
        <v>37149.434333700003</v>
      </c>
      <c r="G160" s="15">
        <v>137936.76644205488</v>
      </c>
      <c r="H160" s="13">
        <v>0.7306777932241445</v>
      </c>
      <c r="I160" s="13">
        <v>0.26932220677585555</v>
      </c>
    </row>
    <row r="161" spans="1:9" x14ac:dyDescent="0.3">
      <c r="A161" s="16">
        <v>41851</v>
      </c>
      <c r="B161" s="11">
        <v>190986328.36011529</v>
      </c>
      <c r="C161" s="11">
        <v>69533921.735763371</v>
      </c>
      <c r="D161" s="15">
        <v>260520250.09587866</v>
      </c>
      <c r="E161" s="11">
        <v>101999.18200419523</v>
      </c>
      <c r="F161" s="11">
        <v>37135.658868830003</v>
      </c>
      <c r="G161" s="15">
        <v>139134.84087302524</v>
      </c>
      <c r="H161" s="13">
        <v>0.73309590440599925</v>
      </c>
      <c r="I161" s="13">
        <v>0.26690409559400069</v>
      </c>
    </row>
    <row r="162" spans="1:9" x14ac:dyDescent="0.3">
      <c r="A162" s="16">
        <v>41882</v>
      </c>
      <c r="B162" s="11">
        <v>194468674.84359205</v>
      </c>
      <c r="C162" s="11">
        <v>71558525.809544712</v>
      </c>
      <c r="D162" s="15">
        <v>266027200.65313676</v>
      </c>
      <c r="E162" s="11">
        <v>100498.52966532581</v>
      </c>
      <c r="F162" s="11">
        <v>36980.38583675</v>
      </c>
      <c r="G162" s="15">
        <v>137478.9155020758</v>
      </c>
      <c r="H162" s="13">
        <v>0.73101049203292834</v>
      </c>
      <c r="I162" s="13">
        <v>0.26898950796707172</v>
      </c>
    </row>
    <row r="163" spans="1:9" x14ac:dyDescent="0.3">
      <c r="A163" s="16">
        <v>41912</v>
      </c>
      <c r="B163" s="11">
        <v>196047624.50696129</v>
      </c>
      <c r="C163" s="11">
        <v>74241185.730615795</v>
      </c>
      <c r="D163" s="15">
        <v>270288810.23757708</v>
      </c>
      <c r="E163" s="11">
        <v>96647.551125454178</v>
      </c>
      <c r="F163" s="11">
        <v>36599.417164880004</v>
      </c>
      <c r="G163" s="15">
        <v>133246.96829033419</v>
      </c>
      <c r="H163" s="13">
        <v>0.72532645481934799</v>
      </c>
      <c r="I163" s="13">
        <v>0.27467354518065196</v>
      </c>
    </row>
    <row r="164" spans="1:9" x14ac:dyDescent="0.3">
      <c r="A164" s="16">
        <v>41943</v>
      </c>
      <c r="B164" s="11">
        <v>202000099.63423562</v>
      </c>
      <c r="C164" s="11">
        <v>77552283.370231301</v>
      </c>
      <c r="D164" s="15">
        <v>279552383.00446689</v>
      </c>
      <c r="E164" s="11">
        <v>98511.645648048114</v>
      </c>
      <c r="F164" s="11">
        <v>37820.788565940005</v>
      </c>
      <c r="G164" s="15">
        <v>136332.43421398813</v>
      </c>
      <c r="H164" s="13">
        <v>0.72258407337922037</v>
      </c>
      <c r="I164" s="13">
        <v>0.27741592662077974</v>
      </c>
    </row>
    <row r="165" spans="1:9" x14ac:dyDescent="0.3">
      <c r="A165" s="16">
        <v>41973</v>
      </c>
      <c r="B165" s="11">
        <v>198444147.06839329</v>
      </c>
      <c r="C165" s="11">
        <v>80649797.76488477</v>
      </c>
      <c r="D165" s="15">
        <v>279093944.83327806</v>
      </c>
      <c r="E165" s="11">
        <v>91653.763974040266</v>
      </c>
      <c r="F165" s="11">
        <v>37249.057924340006</v>
      </c>
      <c r="G165" s="15">
        <v>128902.82189838027</v>
      </c>
      <c r="H165" s="13">
        <v>0.71102992645339391</v>
      </c>
      <c r="I165" s="13">
        <v>0.28897007354660603</v>
      </c>
    </row>
    <row r="166" spans="1:9" x14ac:dyDescent="0.3">
      <c r="A166" s="16">
        <v>42004</v>
      </c>
      <c r="B166" s="11">
        <v>200098697.55529416</v>
      </c>
      <c r="C166" s="11">
        <v>89767232.003086373</v>
      </c>
      <c r="D166" s="15">
        <v>289865929.55838054</v>
      </c>
      <c r="E166" s="11">
        <v>83637.217573248519</v>
      </c>
      <c r="F166" s="11">
        <v>37520.891468649999</v>
      </c>
      <c r="G166" s="15">
        <v>121158.10904189851</v>
      </c>
      <c r="H166" s="13">
        <v>0.69031464946622234</v>
      </c>
      <c r="I166" s="13">
        <v>0.3096853505337776</v>
      </c>
    </row>
    <row r="167" spans="1:9" x14ac:dyDescent="0.3">
      <c r="A167" s="16">
        <v>42035</v>
      </c>
      <c r="B167" s="11">
        <v>197892476.50707862</v>
      </c>
      <c r="C167" s="11">
        <v>93317433.437102348</v>
      </c>
      <c r="D167" s="15">
        <v>291209909.94418097</v>
      </c>
      <c r="E167" s="11">
        <v>82546.343465525948</v>
      </c>
      <c r="F167" s="11">
        <v>38925.243888919998</v>
      </c>
      <c r="G167" s="15">
        <v>121471.58735444595</v>
      </c>
      <c r="H167" s="13">
        <v>0.67955268605045271</v>
      </c>
      <c r="I167" s="13">
        <v>0.32044731394954729</v>
      </c>
    </row>
    <row r="168" spans="1:9" x14ac:dyDescent="0.3">
      <c r="A168" s="16">
        <v>42063</v>
      </c>
      <c r="B168" s="11">
        <v>200231357.35978913</v>
      </c>
      <c r="C168" s="11">
        <v>96808713.176326931</v>
      </c>
      <c r="D168" s="15">
        <v>297040070.53611606</v>
      </c>
      <c r="E168" s="11">
        <v>80589.619718338363</v>
      </c>
      <c r="F168" s="11">
        <v>38963.81407575</v>
      </c>
      <c r="G168" s="15">
        <v>119553.43379408837</v>
      </c>
      <c r="H168" s="13">
        <v>0.67408870795916309</v>
      </c>
      <c r="I168" s="13">
        <v>0.32591129204083696</v>
      </c>
    </row>
    <row r="169" spans="1:9" x14ac:dyDescent="0.3">
      <c r="A169" s="16">
        <v>42094</v>
      </c>
      <c r="B169" s="11">
        <v>202187868.82194659</v>
      </c>
      <c r="C169" s="11">
        <v>102449041.76554218</v>
      </c>
      <c r="D169" s="15">
        <v>304636910.58748877</v>
      </c>
      <c r="E169" s="11">
        <v>78487.556073036845</v>
      </c>
      <c r="F169" s="11">
        <v>39769.818817780004</v>
      </c>
      <c r="G169" s="15">
        <v>118257.37489081685</v>
      </c>
      <c r="H169" s="13">
        <v>0.66370115306129396</v>
      </c>
      <c r="I169" s="13">
        <v>0.3362988469387061</v>
      </c>
    </row>
    <row r="170" spans="1:9" x14ac:dyDescent="0.3">
      <c r="A170" s="16">
        <v>42124</v>
      </c>
      <c r="B170" s="11">
        <v>203349923.29020673</v>
      </c>
      <c r="C170" s="11">
        <v>95629504.698379114</v>
      </c>
      <c r="D170" s="15">
        <v>298979427.98858583</v>
      </c>
      <c r="E170" s="11">
        <v>85152.769733677851</v>
      </c>
      <c r="F170" s="11">
        <v>40044.850086839993</v>
      </c>
      <c r="G170" s="15">
        <v>125197.61982051784</v>
      </c>
      <c r="H170" s="13">
        <v>0.68014687384434369</v>
      </c>
      <c r="I170" s="13">
        <v>0.31985312615565636</v>
      </c>
    </row>
    <row r="171" spans="1:9" x14ac:dyDescent="0.3">
      <c r="A171" s="16">
        <v>42155</v>
      </c>
      <c r="B171" s="11">
        <v>211794182.91943687</v>
      </c>
      <c r="C171" s="11">
        <v>100897657.0419164</v>
      </c>
      <c r="D171" s="15">
        <v>312691839.9613533</v>
      </c>
      <c r="E171" s="11">
        <v>83057.51946863567</v>
      </c>
      <c r="F171" s="11">
        <v>39568.174151819985</v>
      </c>
      <c r="G171" s="15">
        <v>122625.69362045566</v>
      </c>
      <c r="H171" s="13">
        <v>0.67732558337823356</v>
      </c>
      <c r="I171" s="13">
        <v>0.32267441662176632</v>
      </c>
    </row>
    <row r="172" spans="1:9" x14ac:dyDescent="0.3">
      <c r="A172" s="16">
        <v>42185</v>
      </c>
      <c r="B172" s="11">
        <v>208318158.98190579</v>
      </c>
      <c r="C172" s="11">
        <v>101862301.54981145</v>
      </c>
      <c r="D172" s="15">
        <v>310180460.53171724</v>
      </c>
      <c r="E172" s="11">
        <v>80583.866443557825</v>
      </c>
      <c r="F172" s="11">
        <v>39403.468923880006</v>
      </c>
      <c r="G172" s="15">
        <v>119987.33536743783</v>
      </c>
      <c r="H172" s="13">
        <v>0.67160310041710181</v>
      </c>
      <c r="I172" s="13">
        <v>0.32839689958289814</v>
      </c>
    </row>
    <row r="173" spans="1:9" x14ac:dyDescent="0.3">
      <c r="A173" s="16">
        <v>42216</v>
      </c>
      <c r="B173" s="11">
        <v>206627454.6970925</v>
      </c>
      <c r="C173" s="11">
        <v>111895599.64530221</v>
      </c>
      <c r="D173" s="15">
        <v>318523054.34239471</v>
      </c>
      <c r="E173" s="11">
        <v>72095.104987052691</v>
      </c>
      <c r="F173" s="11">
        <v>39041.88345079001</v>
      </c>
      <c r="G173" s="15">
        <v>111136.98843784269</v>
      </c>
      <c r="H173" s="13">
        <v>0.64870486415397544</v>
      </c>
      <c r="I173" s="13">
        <v>0.35129513584602456</v>
      </c>
    </row>
    <row r="174" spans="1:9" x14ac:dyDescent="0.3">
      <c r="A174" s="16">
        <v>42247</v>
      </c>
      <c r="B174" s="11">
        <v>209186491.68683568</v>
      </c>
      <c r="C174" s="11">
        <v>119322756.76222073</v>
      </c>
      <c r="D174" s="15">
        <v>328509248.44905639</v>
      </c>
      <c r="E174" s="11">
        <v>67455.577597251191</v>
      </c>
      <c r="F174" s="11">
        <v>38477.558531560004</v>
      </c>
      <c r="G174" s="15">
        <v>105933.13612881119</v>
      </c>
      <c r="H174" s="13">
        <v>0.63677504567812893</v>
      </c>
      <c r="I174" s="13">
        <v>0.36322495432187113</v>
      </c>
    </row>
    <row r="175" spans="1:9" x14ac:dyDescent="0.3">
      <c r="A175" s="16">
        <v>42277</v>
      </c>
      <c r="B175" s="11">
        <v>218546792.54736164</v>
      </c>
      <c r="C175" s="11">
        <v>125390173.47975096</v>
      </c>
      <c r="D175" s="15">
        <v>343936966.0271126</v>
      </c>
      <c r="E175" s="11">
        <v>70003.521062980595</v>
      </c>
      <c r="F175" s="11">
        <v>40164.184282769995</v>
      </c>
      <c r="G175" s="15">
        <v>110167.70534575058</v>
      </c>
      <c r="H175" s="13">
        <v>0.63542687798825781</v>
      </c>
      <c r="I175" s="13">
        <v>0.36457312201174219</v>
      </c>
    </row>
    <row r="176" spans="1:9" x14ac:dyDescent="0.3">
      <c r="A176" s="16">
        <v>42308</v>
      </c>
      <c r="B176" s="11">
        <v>208000714.17086363</v>
      </c>
      <c r="C176" s="11">
        <v>117680036.32568659</v>
      </c>
      <c r="D176" s="15">
        <v>325680750.4965502</v>
      </c>
      <c r="E176" s="11">
        <v>71200.93456754605</v>
      </c>
      <c r="F176" s="11">
        <v>40283.172102230012</v>
      </c>
      <c r="G176" s="15">
        <v>111484.10666977605</v>
      </c>
      <c r="H176" s="13">
        <v>0.63866444011116619</v>
      </c>
      <c r="I176" s="13">
        <v>0.36133555988883392</v>
      </c>
    </row>
    <row r="177" spans="1:9" x14ac:dyDescent="0.3">
      <c r="A177" s="16">
        <v>42338</v>
      </c>
      <c r="B177" s="11">
        <v>207015568.29514915</v>
      </c>
      <c r="C177" s="11">
        <v>123239655.14920554</v>
      </c>
      <c r="D177" s="15">
        <v>330255223.44435465</v>
      </c>
      <c r="E177" s="11">
        <v>66755.52813361361</v>
      </c>
      <c r="F177" s="11">
        <v>39740.625955049996</v>
      </c>
      <c r="G177" s="15">
        <v>106496.15408866361</v>
      </c>
      <c r="H177" s="13">
        <v>0.62683510690945843</v>
      </c>
      <c r="I177" s="13">
        <v>0.37316489309054163</v>
      </c>
    </row>
    <row r="178" spans="1:9" x14ac:dyDescent="0.3">
      <c r="A178" s="16">
        <v>42369</v>
      </c>
      <c r="B178" s="11">
        <v>211609269.76425281</v>
      </c>
      <c r="C178" s="11">
        <v>129590463.61165862</v>
      </c>
      <c r="D178" s="15">
        <v>341199733.37591141</v>
      </c>
      <c r="E178" s="11">
        <v>67188.85074766638</v>
      </c>
      <c r="F178" s="11">
        <v>41146.752822430004</v>
      </c>
      <c r="G178" s="15">
        <v>108335.60357009638</v>
      </c>
      <c r="H178" s="13">
        <v>0.62019177937374192</v>
      </c>
      <c r="I178" s="13">
        <v>0.37980822062625813</v>
      </c>
    </row>
    <row r="179" spans="1:9" x14ac:dyDescent="0.3">
      <c r="A179" s="16">
        <v>42400</v>
      </c>
      <c r="B179" s="11">
        <v>212684390.72811937</v>
      </c>
      <c r="C179" s="11">
        <v>136367052.99618524</v>
      </c>
      <c r="D179" s="15">
        <v>349051443.72430462</v>
      </c>
      <c r="E179" s="11">
        <v>64392.837467489182</v>
      </c>
      <c r="F179" s="11">
        <v>41286.816815480008</v>
      </c>
      <c r="G179" s="15">
        <v>105679.65428296919</v>
      </c>
      <c r="H179" s="13">
        <v>0.60932104580007518</v>
      </c>
      <c r="I179" s="13">
        <v>0.39067895419992482</v>
      </c>
    </row>
    <row r="180" spans="1:9" x14ac:dyDescent="0.3">
      <c r="A180" s="16">
        <v>42401</v>
      </c>
      <c r="B180" s="11">
        <v>218573911.62225527</v>
      </c>
      <c r="C180" s="11">
        <v>136020607.40089744</v>
      </c>
      <c r="D180" s="15">
        <v>354594519.02315271</v>
      </c>
      <c r="E180" s="11">
        <v>66114.310835527911</v>
      </c>
      <c r="F180" s="11">
        <v>41143.559407409994</v>
      </c>
      <c r="G180" s="15">
        <v>107257.8702429379</v>
      </c>
      <c r="H180" s="13">
        <v>0.61640521749853616</v>
      </c>
      <c r="I180" s="13">
        <v>0.38359478250146384</v>
      </c>
    </row>
    <row r="181" spans="1:9" x14ac:dyDescent="0.3">
      <c r="A181" s="16">
        <v>42430</v>
      </c>
      <c r="B181" s="11">
        <v>222656794.23718953</v>
      </c>
      <c r="C181" s="11">
        <v>129404223.27700727</v>
      </c>
      <c r="D181" s="15">
        <v>352061017.51419681</v>
      </c>
      <c r="E181" s="11">
        <v>73670.089247502619</v>
      </c>
      <c r="F181" s="11">
        <v>42815.763653120011</v>
      </c>
      <c r="G181" s="15">
        <v>116485.85290062263</v>
      </c>
      <c r="H181" s="13">
        <v>0.63243808078868291</v>
      </c>
      <c r="I181" s="13">
        <v>0.36756191921131698</v>
      </c>
    </row>
    <row r="182" spans="1:9" x14ac:dyDescent="0.3">
      <c r="A182" s="16">
        <v>42461</v>
      </c>
      <c r="B182" s="11">
        <v>227291506.87014025</v>
      </c>
      <c r="C182" s="11">
        <v>123851217.38012549</v>
      </c>
      <c r="D182" s="15">
        <v>351142724.25026572</v>
      </c>
      <c r="E182" s="11">
        <v>78764.227600092971</v>
      </c>
      <c r="F182" s="11">
        <v>42918.65370865001</v>
      </c>
      <c r="G182" s="15">
        <v>121682.88130874297</v>
      </c>
      <c r="H182" s="13">
        <v>0.64729094801960219</v>
      </c>
      <c r="I182" s="13">
        <v>0.35270905198039787</v>
      </c>
    </row>
    <row r="183" spans="1:9" x14ac:dyDescent="0.3">
      <c r="A183" s="16">
        <v>42491</v>
      </c>
      <c r="B183" s="11">
        <v>233216996.56316924</v>
      </c>
      <c r="C183" s="11">
        <v>132583650.95916942</v>
      </c>
      <c r="D183" s="15">
        <v>365800647.52233863</v>
      </c>
      <c r="E183" s="11">
        <v>75986.992106390084</v>
      </c>
      <c r="F183" s="11">
        <v>43198.536073000003</v>
      </c>
      <c r="G183" s="15">
        <v>119185.52817939009</v>
      </c>
      <c r="H183" s="13">
        <v>0.6375521698575648</v>
      </c>
      <c r="I183" s="13">
        <v>0.36244783014243526</v>
      </c>
    </row>
    <row r="184" spans="1:9" x14ac:dyDescent="0.3">
      <c r="A184" s="16">
        <v>42522</v>
      </c>
      <c r="B184" s="11">
        <v>232918011.10422453</v>
      </c>
      <c r="C184" s="11">
        <v>126126625.34540461</v>
      </c>
      <c r="D184" s="15">
        <v>359044636.44962913</v>
      </c>
      <c r="E184" s="11">
        <v>79871.752517608664</v>
      </c>
      <c r="F184" s="11">
        <v>43251.076023319998</v>
      </c>
      <c r="G184" s="15">
        <v>123122.82854092866</v>
      </c>
      <c r="H184" s="13">
        <v>0.64871602987140276</v>
      </c>
      <c r="I184" s="13">
        <v>0.35128397012859736</v>
      </c>
    </row>
    <row r="185" spans="1:9" x14ac:dyDescent="0.3">
      <c r="A185" s="16">
        <v>42552</v>
      </c>
      <c r="B185" s="11">
        <v>233278203.870309</v>
      </c>
      <c r="C185" s="11">
        <v>133388137.45034657</v>
      </c>
      <c r="D185" s="15">
        <v>366666341.32065558</v>
      </c>
      <c r="E185" s="11">
        <v>75451.100618513927</v>
      </c>
      <c r="F185" s="11">
        <v>43142.829519029998</v>
      </c>
      <c r="G185" s="15">
        <v>118593.93013754392</v>
      </c>
      <c r="H185" s="13">
        <v>0.63621384779985424</v>
      </c>
      <c r="I185" s="13">
        <v>0.36378615220014565</v>
      </c>
    </row>
    <row r="186" spans="1:9" x14ac:dyDescent="0.3">
      <c r="A186" s="16">
        <v>42583</v>
      </c>
      <c r="B186" s="11">
        <v>236432083.28324249</v>
      </c>
      <c r="C186" s="11">
        <v>126580652.166949</v>
      </c>
      <c r="D186" s="15">
        <v>363012735.45019114</v>
      </c>
      <c r="E186" s="11">
        <v>80588.476213006419</v>
      </c>
      <c r="F186" s="11">
        <v>43145.336853300003</v>
      </c>
      <c r="G186" s="15">
        <v>123733.81306630642</v>
      </c>
      <c r="H186" s="13">
        <v>0.65130520280515958</v>
      </c>
      <c r="I186" s="13">
        <v>0.34869479719484031</v>
      </c>
    </row>
    <row r="187" spans="1:9" x14ac:dyDescent="0.3">
      <c r="A187" s="16">
        <v>42614</v>
      </c>
      <c r="B187" s="11">
        <v>239269688.37336314</v>
      </c>
      <c r="C187" s="11">
        <v>124198517.77009965</v>
      </c>
      <c r="D187" s="15">
        <v>363468206.14346278</v>
      </c>
      <c r="E187" s="11">
        <v>83081.195289280426</v>
      </c>
      <c r="F187" s="11">
        <v>43125.234038820003</v>
      </c>
      <c r="G187" s="15">
        <v>126206.42932810044</v>
      </c>
      <c r="H187" s="13">
        <v>0.65829606091852266</v>
      </c>
      <c r="I187" s="13">
        <v>0.34170393908147734</v>
      </c>
    </row>
    <row r="188" spans="1:9" x14ac:dyDescent="0.3">
      <c r="A188" s="16">
        <v>42674</v>
      </c>
      <c r="B188" s="11">
        <v>241991639.48386723</v>
      </c>
      <c r="C188" s="11">
        <v>127416890.57074043</v>
      </c>
      <c r="D188" s="15">
        <v>369408530.05460763</v>
      </c>
      <c r="E188" s="11">
        <v>81542.912423885224</v>
      </c>
      <c r="F188" s="11">
        <v>42935.137640680012</v>
      </c>
      <c r="G188" s="15">
        <v>124478.05006456524</v>
      </c>
      <c r="H188" s="13">
        <v>0.65507864544463801</v>
      </c>
      <c r="I188" s="13">
        <v>0.34492135455536205</v>
      </c>
    </row>
    <row r="189" spans="1:9" x14ac:dyDescent="0.3">
      <c r="A189" s="16">
        <v>42704</v>
      </c>
      <c r="B189" s="11">
        <v>244867318.63535088</v>
      </c>
      <c r="C189" s="11">
        <v>136876163.22487298</v>
      </c>
      <c r="D189" s="15">
        <v>381743481.86022389</v>
      </c>
      <c r="E189" s="11">
        <v>77365.041321210738</v>
      </c>
      <c r="F189" s="11">
        <v>43245.583293009986</v>
      </c>
      <c r="G189" s="15">
        <v>120610.62461422072</v>
      </c>
      <c r="H189" s="13">
        <v>0.64144466185020421</v>
      </c>
      <c r="I189" s="13">
        <v>0.35855533814979568</v>
      </c>
    </row>
    <row r="190" spans="1:9" x14ac:dyDescent="0.3">
      <c r="A190" s="16">
        <v>42735</v>
      </c>
      <c r="B190" s="11">
        <v>243015611.75506231</v>
      </c>
      <c r="C190" s="11">
        <v>134069787.40932594</v>
      </c>
      <c r="D190" s="15">
        <v>377085399.16438824</v>
      </c>
      <c r="E190" s="11">
        <v>80986.037222878018</v>
      </c>
      <c r="F190" s="11">
        <v>44679.355022420008</v>
      </c>
      <c r="G190" s="15">
        <v>125665.39224529802</v>
      </c>
      <c r="H190" s="13">
        <v>0.64445776021447343</v>
      </c>
      <c r="I190" s="13">
        <v>0.35554223978552663</v>
      </c>
    </row>
    <row r="191" spans="1:9" x14ac:dyDescent="0.3">
      <c r="A191" s="16">
        <v>42766</v>
      </c>
      <c r="B191" s="11">
        <v>243694978.92067796</v>
      </c>
      <c r="C191" s="11">
        <v>134875791.70467806</v>
      </c>
      <c r="D191" s="15">
        <v>378570770.62535602</v>
      </c>
      <c r="E191" s="11">
        <v>82983.722637512677</v>
      </c>
      <c r="F191" s="11">
        <v>45928.296671960001</v>
      </c>
      <c r="G191" s="15">
        <v>128912.01930947267</v>
      </c>
      <c r="H191" s="13">
        <v>0.64372370460118056</v>
      </c>
      <c r="I191" s="13">
        <v>0.35627629539881944</v>
      </c>
    </row>
    <row r="192" spans="1:9" x14ac:dyDescent="0.3">
      <c r="A192" s="16">
        <v>42794</v>
      </c>
      <c r="B192" s="11">
        <v>248369274.38176462</v>
      </c>
      <c r="C192" s="11">
        <v>132635099.38497403</v>
      </c>
      <c r="D192" s="15">
        <v>381004373.76673865</v>
      </c>
      <c r="E192" s="11">
        <v>85754.875885799542</v>
      </c>
      <c r="F192" s="11">
        <v>45795.143196240002</v>
      </c>
      <c r="G192" s="15">
        <v>131550.01908203954</v>
      </c>
      <c r="H192" s="13">
        <v>0.65188037587679537</v>
      </c>
      <c r="I192" s="13">
        <v>0.34811962412320463</v>
      </c>
    </row>
    <row r="193" spans="1:9" x14ac:dyDescent="0.3">
      <c r="A193" s="16">
        <v>42825</v>
      </c>
      <c r="B193" s="11">
        <v>253471755.6831139</v>
      </c>
      <c r="C193" s="11">
        <v>131754601.88097288</v>
      </c>
      <c r="D193" s="15">
        <v>385226357.56408679</v>
      </c>
      <c r="E193" s="11">
        <v>88003.692637805856</v>
      </c>
      <c r="F193" s="11">
        <v>45744.313626980002</v>
      </c>
      <c r="G193" s="15">
        <v>133748.00626478586</v>
      </c>
      <c r="H193" s="13">
        <v>0.65798134189441071</v>
      </c>
      <c r="I193" s="13">
        <v>0.34201865810558923</v>
      </c>
    </row>
    <row r="194" spans="1:9" x14ac:dyDescent="0.3">
      <c r="A194" s="16">
        <v>42855</v>
      </c>
      <c r="B194" s="11">
        <v>255714577.11101821</v>
      </c>
      <c r="C194" s="11">
        <v>134693162.99358007</v>
      </c>
      <c r="D194" s="15">
        <v>390407740.10459828</v>
      </c>
      <c r="E194" s="11">
        <v>86850.425774126445</v>
      </c>
      <c r="F194" s="11">
        <v>45746.936631529992</v>
      </c>
      <c r="G194" s="15">
        <v>132597.36240565643</v>
      </c>
      <c r="H194" s="13">
        <v>0.65499361524570954</v>
      </c>
      <c r="I194" s="13">
        <v>0.34500638475429046</v>
      </c>
    </row>
    <row r="195" spans="1:9" x14ac:dyDescent="0.3">
      <c r="A195" s="16">
        <v>42886</v>
      </c>
      <c r="B195" s="11">
        <v>252718358.56229156</v>
      </c>
      <c r="C195" s="11">
        <v>133981867.46012698</v>
      </c>
      <c r="D195" s="15">
        <v>386700226.02241856</v>
      </c>
      <c r="E195" s="11">
        <v>86534.936263377036</v>
      </c>
      <c r="F195" s="11">
        <v>45877.602351760012</v>
      </c>
      <c r="G195" s="15">
        <v>132412.53861513705</v>
      </c>
      <c r="H195" s="13">
        <v>0.65352524140402357</v>
      </c>
      <c r="I195" s="13">
        <v>0.34647475859597637</v>
      </c>
    </row>
    <row r="196" spans="1:9" x14ac:dyDescent="0.3">
      <c r="A196" s="16">
        <v>42916</v>
      </c>
      <c r="B196" s="11">
        <v>250568580.48822618</v>
      </c>
      <c r="C196" s="11">
        <v>139056306.68307236</v>
      </c>
      <c r="D196" s="15">
        <v>389624887.1712985</v>
      </c>
      <c r="E196" s="11">
        <v>82471.07900187152</v>
      </c>
      <c r="F196" s="11">
        <v>45768.402534039997</v>
      </c>
      <c r="G196" s="15">
        <v>128239.48153591152</v>
      </c>
      <c r="H196" s="13">
        <v>0.64310209316291378</v>
      </c>
      <c r="I196" s="13">
        <v>0.35689790683708633</v>
      </c>
    </row>
    <row r="197" spans="1:9" x14ac:dyDescent="0.3">
      <c r="A197" s="16">
        <v>42947</v>
      </c>
      <c r="B197" s="11">
        <v>255680551.0927217</v>
      </c>
      <c r="C197" s="11">
        <v>137569253.96246386</v>
      </c>
      <c r="D197" s="15">
        <v>393249805.05518556</v>
      </c>
      <c r="E197" s="11">
        <v>85362.576861450274</v>
      </c>
      <c r="F197" s="11">
        <v>45929.44580632</v>
      </c>
      <c r="G197" s="15">
        <v>131292.02266777027</v>
      </c>
      <c r="H197" s="13">
        <v>0.65017337022415445</v>
      </c>
      <c r="I197" s="13">
        <v>0.34982662977584561</v>
      </c>
    </row>
    <row r="198" spans="1:9" x14ac:dyDescent="0.3">
      <c r="A198" s="16">
        <v>42978</v>
      </c>
      <c r="B198" s="11">
        <v>260374930.47211647</v>
      </c>
      <c r="C198" s="11">
        <v>140364356.41136405</v>
      </c>
      <c r="D198" s="15">
        <v>400739286.88348055</v>
      </c>
      <c r="E198" s="11">
        <v>88650.647570253699</v>
      </c>
      <c r="F198" s="11">
        <v>47790.280996280009</v>
      </c>
      <c r="G198" s="15">
        <v>136440.92856653372</v>
      </c>
      <c r="H198" s="13">
        <v>0.64973647205152463</v>
      </c>
      <c r="I198" s="13">
        <v>0.35026352794847532</v>
      </c>
    </row>
    <row r="199" spans="1:9" x14ac:dyDescent="0.3">
      <c r="A199" s="16">
        <v>43008</v>
      </c>
      <c r="B199" s="11">
        <v>261562213.32989857</v>
      </c>
      <c r="C199" s="11">
        <v>140194808.71799496</v>
      </c>
      <c r="D199" s="15">
        <v>401757022.04789352</v>
      </c>
      <c r="E199" s="11">
        <v>88934.371956430332</v>
      </c>
      <c r="F199" s="11">
        <v>47667.960544289985</v>
      </c>
      <c r="G199" s="15">
        <v>136602.33250072031</v>
      </c>
      <c r="H199" s="13">
        <v>0.65104577885565296</v>
      </c>
      <c r="I199" s="13">
        <v>0.34895422114434704</v>
      </c>
    </row>
    <row r="200" spans="1:9" x14ac:dyDescent="0.3">
      <c r="A200" s="16">
        <v>43039</v>
      </c>
      <c r="B200" s="11">
        <v>263093997.76348901</v>
      </c>
      <c r="C200" s="11">
        <v>143149490.53709531</v>
      </c>
      <c r="D200" s="15">
        <v>406243488.30058402</v>
      </c>
      <c r="E200" s="11">
        <v>87364.847967579961</v>
      </c>
      <c r="F200" s="11">
        <v>47535.229171790008</v>
      </c>
      <c r="G200" s="15">
        <v>134900.07713936997</v>
      </c>
      <c r="H200" s="13">
        <v>0.64762637516745292</v>
      </c>
      <c r="I200" s="13">
        <v>0.35237362483254703</v>
      </c>
    </row>
    <row r="201" spans="1:9" x14ac:dyDescent="0.3">
      <c r="A201" s="16">
        <v>43069</v>
      </c>
      <c r="B201" s="11">
        <v>264923006.85490698</v>
      </c>
      <c r="C201" s="11">
        <v>142913657.06477386</v>
      </c>
      <c r="D201" s="15">
        <v>407836663.91968083</v>
      </c>
      <c r="E201" s="11">
        <v>88128.767553502039</v>
      </c>
      <c r="F201" s="11">
        <v>47541.376693570004</v>
      </c>
      <c r="G201" s="15">
        <v>135670.14424707205</v>
      </c>
      <c r="H201" s="13">
        <v>0.64958114434527836</v>
      </c>
      <c r="I201" s="13">
        <v>0.35041885565472164</v>
      </c>
    </row>
    <row r="202" spans="1:9" x14ac:dyDescent="0.3">
      <c r="A202" s="16">
        <v>43100</v>
      </c>
      <c r="B202" s="11">
        <v>269333787.82399297</v>
      </c>
      <c r="C202" s="11">
        <v>142552124.44486585</v>
      </c>
      <c r="D202" s="15">
        <v>411885912.26885879</v>
      </c>
      <c r="E202" s="11">
        <v>90259.312273456089</v>
      </c>
      <c r="F202" s="11">
        <v>47772.159666510001</v>
      </c>
      <c r="G202" s="15">
        <v>138031.47193996608</v>
      </c>
      <c r="H202" s="17">
        <v>0.6539038597857777</v>
      </c>
      <c r="I202" s="17">
        <v>0.34609614021422236</v>
      </c>
    </row>
    <row r="203" spans="1:9" x14ac:dyDescent="0.3">
      <c r="A203" s="16">
        <v>43131</v>
      </c>
      <c r="B203" s="11">
        <v>273577976.18843114</v>
      </c>
      <c r="C203" s="11">
        <v>137883895.08766097</v>
      </c>
      <c r="D203" s="15">
        <v>411461871.27609211</v>
      </c>
      <c r="E203" s="11">
        <v>96190.052595312169</v>
      </c>
      <c r="F203" s="11">
        <v>48479.995741299994</v>
      </c>
      <c r="G203" s="15">
        <v>144670.04833661218</v>
      </c>
      <c r="H203" s="17">
        <v>0.66489265539955589</v>
      </c>
      <c r="I203" s="17">
        <v>0.33510734460044411</v>
      </c>
    </row>
    <row r="204" spans="1:9" x14ac:dyDescent="0.3">
      <c r="A204" s="16">
        <v>43159</v>
      </c>
      <c r="B204" s="11">
        <v>279079549.26033974</v>
      </c>
      <c r="C204" s="11">
        <v>138254707.90655193</v>
      </c>
      <c r="D204" s="15">
        <v>417334257.16689169</v>
      </c>
      <c r="E204" s="11">
        <v>97719.324094196898</v>
      </c>
      <c r="F204" s="11">
        <v>48409.697683960017</v>
      </c>
      <c r="G204" s="15">
        <v>146129.02177815692</v>
      </c>
      <c r="H204" s="17">
        <v>0.66871948436463002</v>
      </c>
      <c r="I204" s="17">
        <v>0.33128051563536987</v>
      </c>
    </row>
    <row r="205" spans="1:9" x14ac:dyDescent="0.3">
      <c r="A205" s="16">
        <v>43190</v>
      </c>
      <c r="B205" s="11">
        <v>280562903.11011064</v>
      </c>
      <c r="C205" s="11">
        <v>136559326.66186175</v>
      </c>
      <c r="D205" s="15">
        <v>417122229.77197242</v>
      </c>
      <c r="E205" s="11">
        <v>100920.45550068008</v>
      </c>
      <c r="F205" s="11">
        <v>49121.353168250003</v>
      </c>
      <c r="G205" s="15">
        <v>150041.80866893008</v>
      </c>
      <c r="H205" s="17">
        <v>0.67261556226213481</v>
      </c>
      <c r="I205" s="17">
        <v>0.32738443773786507</v>
      </c>
    </row>
    <row r="206" spans="1:9" x14ac:dyDescent="0.3">
      <c r="A206" s="16">
        <v>43220</v>
      </c>
      <c r="B206" s="11">
        <v>287751137.82814205</v>
      </c>
      <c r="C206" s="11">
        <v>138016098.67575094</v>
      </c>
      <c r="D206" s="15">
        <v>425767236.50389302</v>
      </c>
      <c r="E206" s="11">
        <v>102538.28478560301</v>
      </c>
      <c r="F206" s="11">
        <v>49181.157502370013</v>
      </c>
      <c r="G206" s="15">
        <v>151719.44228797301</v>
      </c>
      <c r="H206" s="17">
        <v>0.67584142967635552</v>
      </c>
      <c r="I206" s="17">
        <v>0.32415857032364442</v>
      </c>
    </row>
    <row r="207" spans="1:9" x14ac:dyDescent="0.3">
      <c r="A207" s="16">
        <v>43251</v>
      </c>
      <c r="B207" s="11">
        <v>293744808.9562571</v>
      </c>
      <c r="C207" s="11">
        <v>140613575.40115675</v>
      </c>
      <c r="D207" s="15">
        <v>434358384.35741389</v>
      </c>
      <c r="E207" s="11">
        <v>102018.81310735072</v>
      </c>
      <c r="F207" s="11">
        <v>48835.688774139991</v>
      </c>
      <c r="G207" s="15">
        <v>150854.50188149072</v>
      </c>
      <c r="H207" s="17">
        <v>0.67627291088399433</v>
      </c>
      <c r="I207" s="17">
        <v>0.32372708911600562</v>
      </c>
    </row>
    <row r="208" spans="1:9" x14ac:dyDescent="0.3">
      <c r="A208" s="16">
        <v>43281</v>
      </c>
      <c r="B208" s="11">
        <v>296260403.33331323</v>
      </c>
      <c r="C208" s="11">
        <v>143439062.63392922</v>
      </c>
      <c r="D208" s="15">
        <v>439699465.96724248</v>
      </c>
      <c r="E208" s="11">
        <v>100594.68584434201</v>
      </c>
      <c r="F208" s="11">
        <v>48704.475120940013</v>
      </c>
      <c r="G208" s="15">
        <v>149299.16096528203</v>
      </c>
      <c r="H208" s="17">
        <v>0.67377931124297652</v>
      </c>
      <c r="I208" s="17">
        <v>0.32622068875702342</v>
      </c>
    </row>
    <row r="209" spans="1:10" x14ac:dyDescent="0.3">
      <c r="A209" s="16">
        <v>43312</v>
      </c>
      <c r="B209" s="11">
        <v>301661661.01779324</v>
      </c>
      <c r="C209" s="11">
        <v>140107593.37015706</v>
      </c>
      <c r="D209" s="15">
        <v>441769254.3879503</v>
      </c>
      <c r="E209" s="11">
        <v>104899.52464697302</v>
      </c>
      <c r="F209" s="11">
        <v>48720.874553210007</v>
      </c>
      <c r="G209" s="15">
        <v>153620.39920018302</v>
      </c>
      <c r="H209" s="17">
        <v>0.68284892626973492</v>
      </c>
      <c r="I209" s="17">
        <v>0.31715107373026513</v>
      </c>
    </row>
    <row r="210" spans="1:10" x14ac:dyDescent="0.3">
      <c r="A210" s="16">
        <v>43343</v>
      </c>
      <c r="B210" s="11">
        <v>307983597.12410873</v>
      </c>
      <c r="C210" s="11">
        <v>146875765.03612724</v>
      </c>
      <c r="D210" s="15">
        <v>454859362.160236</v>
      </c>
      <c r="E210" s="11">
        <v>101732.38239014754</v>
      </c>
      <c r="F210" s="11">
        <v>48515.640547179995</v>
      </c>
      <c r="G210" s="15">
        <v>150248.02293732754</v>
      </c>
      <c r="H210" s="17">
        <v>0.67709631315802965</v>
      </c>
      <c r="I210" s="17">
        <v>0.32290368684197041</v>
      </c>
    </row>
    <row r="211" spans="1:10" x14ac:dyDescent="0.3">
      <c r="A211" s="16">
        <v>43373</v>
      </c>
      <c r="B211" s="11">
        <v>311304097.02080071</v>
      </c>
      <c r="C211" s="11">
        <v>145816613.20145193</v>
      </c>
      <c r="D211" s="15">
        <v>457120710.22225261</v>
      </c>
      <c r="E211" s="11">
        <v>104129.70953137254</v>
      </c>
      <c r="F211" s="11">
        <v>48774.949391369999</v>
      </c>
      <c r="G211" s="15">
        <v>152904.65892274253</v>
      </c>
      <c r="H211" s="17">
        <v>0.68101070474239578</v>
      </c>
      <c r="I211" s="17">
        <v>0.31898929525760433</v>
      </c>
    </row>
    <row r="212" spans="1:10" x14ac:dyDescent="0.3">
      <c r="A212" s="16">
        <v>43404</v>
      </c>
      <c r="B212" s="11">
        <v>310450473.15965354</v>
      </c>
      <c r="C212" s="11">
        <v>159009370.38801381</v>
      </c>
      <c r="D212" s="15">
        <v>469459843.54766738</v>
      </c>
      <c r="E212" s="11">
        <v>96941.854698184368</v>
      </c>
      <c r="F212" s="11">
        <v>49652.568163030002</v>
      </c>
      <c r="G212" s="15">
        <v>146594.42286121438</v>
      </c>
      <c r="H212" s="17">
        <v>0.66129292510645044</v>
      </c>
      <c r="I212" s="17">
        <v>0.33870707489354951</v>
      </c>
      <c r="J212" s="18"/>
    </row>
    <row r="213" spans="1:10" x14ac:dyDescent="0.3">
      <c r="A213" s="16">
        <v>43434</v>
      </c>
      <c r="B213" s="11">
        <v>308263067.74220312</v>
      </c>
      <c r="C213" s="11">
        <v>161178582.56463969</v>
      </c>
      <c r="D213" s="15">
        <v>469441650.3068428</v>
      </c>
      <c r="E213" s="11">
        <v>95142.334844292054</v>
      </c>
      <c r="F213" s="11">
        <v>49746.169025079995</v>
      </c>
      <c r="G213" s="15">
        <v>144888.50386937204</v>
      </c>
      <c r="H213" s="17">
        <v>0.65665896398564561</v>
      </c>
      <c r="I213" s="17">
        <v>0.34334103601435439</v>
      </c>
      <c r="J213" s="18"/>
    </row>
    <row r="214" spans="1:10" x14ac:dyDescent="0.3">
      <c r="A214" s="16">
        <v>43465</v>
      </c>
      <c r="B214" s="11">
        <v>309935579.36553746</v>
      </c>
      <c r="C214" s="11">
        <v>164090347.19709632</v>
      </c>
      <c r="D214" s="15">
        <v>474025926.5626334</v>
      </c>
      <c r="E214" s="11">
        <v>95372.129968624475</v>
      </c>
      <c r="F214" s="11">
        <v>50493.235720090008</v>
      </c>
      <c r="G214" s="15">
        <v>145865.36568871449</v>
      </c>
      <c r="H214" s="17">
        <v>0.65383670426710039</v>
      </c>
      <c r="I214" s="17">
        <v>0.33710810145387121</v>
      </c>
    </row>
    <row r="215" spans="1:10" x14ac:dyDescent="0.3">
      <c r="A215" s="16">
        <v>43496</v>
      </c>
      <c r="B215" s="11">
        <v>314376105.39829493</v>
      </c>
      <c r="C215" s="11">
        <v>166260785.35409623</v>
      </c>
      <c r="D215" s="15">
        <v>480636890.75239116</v>
      </c>
      <c r="E215" s="11">
        <v>99377.297452250044</v>
      </c>
      <c r="F215" s="11">
        <v>52556.626400870009</v>
      </c>
      <c r="G215" s="15">
        <v>151933.92385312007</v>
      </c>
      <c r="H215" s="17">
        <v>0.6540823466675002</v>
      </c>
      <c r="I215" s="17">
        <v>0.3459176533324998</v>
      </c>
    </row>
    <row r="216" spans="1:10" x14ac:dyDescent="0.3">
      <c r="A216" s="16">
        <v>43524</v>
      </c>
      <c r="B216" s="11">
        <v>320423404.14469355</v>
      </c>
      <c r="C216" s="11">
        <v>161145767.2076804</v>
      </c>
      <c r="D216" s="15">
        <v>481569171.35237384</v>
      </c>
      <c r="E216" s="11">
        <v>104304.13753233015</v>
      </c>
      <c r="F216" s="11">
        <v>52456.133673939978</v>
      </c>
      <c r="G216" s="15">
        <v>156759.90094232099</v>
      </c>
      <c r="H216" s="17">
        <v>0.66537358121338963</v>
      </c>
      <c r="I216" s="17">
        <v>0.33462641878661042</v>
      </c>
    </row>
    <row r="217" spans="1:10" x14ac:dyDescent="0.3">
      <c r="A217" s="16">
        <v>43555</v>
      </c>
      <c r="B217" s="11">
        <v>324068396.07382751</v>
      </c>
      <c r="C217" s="11">
        <v>163417445.05729488</v>
      </c>
      <c r="D217" s="15">
        <v>487485841.13112235</v>
      </c>
      <c r="E217" s="11">
        <v>101558.91244392797</v>
      </c>
      <c r="F217" s="11">
        <v>51212.948240109457</v>
      </c>
      <c r="G217" s="15">
        <v>152771.86068403744</v>
      </c>
      <c r="H217" s="17">
        <v>0.66477499186824718</v>
      </c>
      <c r="I217" s="17">
        <v>0.33522500813175288</v>
      </c>
    </row>
    <row r="218" spans="1:10" x14ac:dyDescent="0.3">
      <c r="A218" s="16">
        <v>43585</v>
      </c>
      <c r="B218" s="11">
        <v>323933778.32122874</v>
      </c>
      <c r="C218" s="11">
        <v>165921112.45995641</v>
      </c>
      <c r="D218" s="15">
        <v>489854890.78118515</v>
      </c>
      <c r="E218" s="11">
        <v>99741.904573432679</v>
      </c>
      <c r="F218" s="11">
        <v>51088.490528726747</v>
      </c>
      <c r="G218" s="15">
        <v>150830.39510215941</v>
      </c>
      <c r="H218" s="17">
        <v>0.66128517734025805</v>
      </c>
      <c r="I218" s="17">
        <v>0.33871482265974201</v>
      </c>
    </row>
    <row r="219" spans="1:10" x14ac:dyDescent="0.3">
      <c r="A219" s="16">
        <v>43616</v>
      </c>
      <c r="B219" s="11">
        <v>324423344.80396718</v>
      </c>
      <c r="C219" s="11">
        <v>170961465.59626636</v>
      </c>
      <c r="D219" s="15">
        <v>495384810.40023351</v>
      </c>
      <c r="E219" s="11">
        <v>96617.253099918147</v>
      </c>
      <c r="F219" s="11">
        <v>50914.422332425907</v>
      </c>
      <c r="G219" s="15">
        <v>147531.67543234405</v>
      </c>
      <c r="H219" s="17">
        <v>0.65489158729323493</v>
      </c>
      <c r="I219" s="17">
        <v>0.34510841270676507</v>
      </c>
    </row>
    <row r="220" spans="1:10" x14ac:dyDescent="0.3">
      <c r="A220" s="16">
        <v>43646</v>
      </c>
      <c r="B220" s="11">
        <v>332678152.96158701</v>
      </c>
      <c r="C220" s="11">
        <v>163262612.25119537</v>
      </c>
      <c r="D220" s="15">
        <v>495940765.21278292</v>
      </c>
      <c r="E220" s="11">
        <v>104051.99280676943</v>
      </c>
      <c r="F220" s="11">
        <v>51063.768403022448</v>
      </c>
      <c r="G220" s="15">
        <v>155115.76120979193</v>
      </c>
      <c r="H220" s="17">
        <v>0.67080219311847045</v>
      </c>
      <c r="I220" s="17">
        <v>0.32919780688152955</v>
      </c>
    </row>
    <row r="221" spans="1:10" x14ac:dyDescent="0.3">
      <c r="A221" s="16">
        <v>43677</v>
      </c>
      <c r="B221" s="11">
        <v>340239053.44168985</v>
      </c>
      <c r="C221" s="11">
        <v>167530632.20393959</v>
      </c>
      <c r="D221" s="15">
        <v>507769685.64562941</v>
      </c>
      <c r="E221" s="11">
        <v>103201.253754854</v>
      </c>
      <c r="F221" s="11">
        <v>50815.363818171776</v>
      </c>
      <c r="G221" s="15">
        <v>154016.61757302555</v>
      </c>
      <c r="H221" s="17">
        <v>0.67006570707165325</v>
      </c>
      <c r="I221" s="17">
        <v>0.32993429292834675</v>
      </c>
    </row>
    <row r="222" spans="1:10" x14ac:dyDescent="0.3">
      <c r="A222" s="16">
        <v>43708</v>
      </c>
      <c r="B222" s="11">
        <v>342936887.39506519</v>
      </c>
      <c r="C222" s="11">
        <v>175067999.25969523</v>
      </c>
      <c r="D222" s="15">
        <v>518004886.65476042</v>
      </c>
      <c r="E222" s="11">
        <v>98995.969399438589</v>
      </c>
      <c r="F222" s="11">
        <v>50537.072372644143</v>
      </c>
      <c r="G222" s="15">
        <v>149533.04177208271</v>
      </c>
      <c r="H222" s="17">
        <v>0.66203407772796841</v>
      </c>
      <c r="I222" s="17">
        <v>0.33796592227203165</v>
      </c>
    </row>
    <row r="223" spans="1:10" x14ac:dyDescent="0.3">
      <c r="A223" s="16">
        <v>43738</v>
      </c>
      <c r="B223" s="11">
        <v>334736518.84807253</v>
      </c>
      <c r="C223" s="11">
        <v>176054321.49443451</v>
      </c>
      <c r="D223" s="15">
        <v>510790840.34250712</v>
      </c>
      <c r="E223" s="11">
        <v>96688.489879599583</v>
      </c>
      <c r="F223" s="11">
        <v>50853.20998334336</v>
      </c>
      <c r="G223" s="15">
        <v>147541.69986294289</v>
      </c>
      <c r="H223" s="17">
        <v>0.65532991669078744</v>
      </c>
      <c r="I223" s="17">
        <v>0.3446700833092125</v>
      </c>
    </row>
    <row r="224" spans="1:10" x14ac:dyDescent="0.3">
      <c r="A224" s="16">
        <v>43769</v>
      </c>
      <c r="B224" s="11">
        <v>336864304.71226597</v>
      </c>
      <c r="C224" s="11">
        <v>172592048.50443509</v>
      </c>
      <c r="D224" s="15">
        <v>509456353.21670103</v>
      </c>
      <c r="E224" s="11">
        <v>99371.760182264567</v>
      </c>
      <c r="F224" s="11">
        <v>50913.009818591207</v>
      </c>
      <c r="G224" s="15">
        <v>150284.77000085579</v>
      </c>
      <c r="H224" s="17">
        <v>0.66122309121342582</v>
      </c>
      <c r="I224" s="17">
        <v>0.33877690878657429</v>
      </c>
    </row>
    <row r="225" spans="1:9" x14ac:dyDescent="0.3">
      <c r="A225" s="16">
        <v>43799</v>
      </c>
      <c r="B225" s="11">
        <v>340030035.49273849</v>
      </c>
      <c r="C225" s="11">
        <v>178538620.54997858</v>
      </c>
      <c r="D225" s="15">
        <v>518568656.0427171</v>
      </c>
      <c r="E225" s="11">
        <v>97070.454218976869</v>
      </c>
      <c r="F225" s="11">
        <v>50968.512141293148</v>
      </c>
      <c r="G225" s="15">
        <v>148038.96636027002</v>
      </c>
      <c r="H225" s="17">
        <v>0.65570880833323741</v>
      </c>
      <c r="I225" s="17">
        <v>0.34429119166676259</v>
      </c>
    </row>
    <row r="226" spans="1:9" x14ac:dyDescent="0.3">
      <c r="A226" s="16">
        <v>43830</v>
      </c>
      <c r="B226" s="11">
        <v>331298877.00313085</v>
      </c>
      <c r="C226" s="11">
        <v>169507573.76647875</v>
      </c>
      <c r="D226" s="15">
        <v>500806450.76960957</v>
      </c>
      <c r="E226" s="11">
        <v>101093.90413687876</v>
      </c>
      <c r="F226" s="11">
        <v>51724.239357024344</v>
      </c>
      <c r="G226" s="15">
        <v>152818.1434939031</v>
      </c>
      <c r="H226" s="17">
        <v>0.66153077000907323</v>
      </c>
      <c r="I226" s="17">
        <v>0.33846922999092682</v>
      </c>
    </row>
    <row r="227" spans="1:9" x14ac:dyDescent="0.3">
      <c r="A227" s="16">
        <v>43861</v>
      </c>
      <c r="B227" s="11">
        <v>347651417.06229508</v>
      </c>
      <c r="C227" s="11">
        <v>182181203.32657391</v>
      </c>
      <c r="D227" s="15">
        <v>529832620.38886899</v>
      </c>
      <c r="E227" s="11">
        <v>101907.22920233187</v>
      </c>
      <c r="F227" s="11">
        <v>53402.864859978567</v>
      </c>
      <c r="G227" s="15">
        <v>155310.09406231038</v>
      </c>
      <c r="H227" s="17">
        <v>0.656153290084588</v>
      </c>
      <c r="I227" s="17">
        <v>0.34384670991541205</v>
      </c>
    </row>
    <row r="228" spans="1:9" x14ac:dyDescent="0.3">
      <c r="A228" s="16">
        <v>43890</v>
      </c>
      <c r="B228" s="11">
        <v>351954238.27672714</v>
      </c>
      <c r="C228" s="11">
        <v>183968380.6477994</v>
      </c>
      <c r="D228" s="15">
        <v>535922618.92452657</v>
      </c>
      <c r="E228" s="11">
        <v>100354.49081344102</v>
      </c>
      <c r="F228" s="11">
        <v>52455.834190487156</v>
      </c>
      <c r="G228" s="15">
        <v>152810.32500392818</v>
      </c>
      <c r="H228" s="17">
        <v>0.6567258515474087</v>
      </c>
      <c r="I228" s="17">
        <v>0.34327414845259119</v>
      </c>
    </row>
    <row r="229" spans="1:9" x14ac:dyDescent="0.3">
      <c r="A229" s="16">
        <v>43921</v>
      </c>
      <c r="B229" s="11">
        <v>352285242.52351195</v>
      </c>
      <c r="C229" s="11">
        <v>215454737.74830422</v>
      </c>
      <c r="D229" s="15">
        <v>567739980.27181613</v>
      </c>
      <c r="E229" s="11">
        <v>86667.087151308908</v>
      </c>
      <c r="F229" s="11">
        <v>53004.872982575871</v>
      </c>
      <c r="G229" s="15">
        <v>139671.96013388477</v>
      </c>
      <c r="H229" s="17">
        <v>0.6205045527264943</v>
      </c>
      <c r="I229" s="17">
        <v>0.37949544727350581</v>
      </c>
    </row>
    <row r="230" spans="1:9" x14ac:dyDescent="0.3">
      <c r="A230" s="16">
        <v>43951</v>
      </c>
      <c r="B230" s="11">
        <v>350469690.42497772</v>
      </c>
      <c r="C230" s="11">
        <v>217474511.48852992</v>
      </c>
      <c r="D230" s="15">
        <v>567944201.9135077</v>
      </c>
      <c r="E230" s="11">
        <v>87984.979859607949</v>
      </c>
      <c r="F230" s="11">
        <v>54596.705609817494</v>
      </c>
      <c r="G230" s="15">
        <v>142581.68546942546</v>
      </c>
      <c r="H230" s="17">
        <v>0.61708472283752758</v>
      </c>
      <c r="I230" s="17">
        <v>0.38291527716247226</v>
      </c>
    </row>
    <row r="231" spans="1:9" x14ac:dyDescent="0.3">
      <c r="A231" s="16">
        <v>43982</v>
      </c>
      <c r="B231" s="11">
        <v>367452406.29928088</v>
      </c>
      <c r="C231" s="11">
        <v>208492467.44221625</v>
      </c>
      <c r="D231" s="15">
        <v>575944873.74149716</v>
      </c>
      <c r="E231" s="11">
        <v>98686.800387622367</v>
      </c>
      <c r="F231" s="11">
        <v>55994.883048975469</v>
      </c>
      <c r="G231" s="15">
        <v>154681.68343659784</v>
      </c>
      <c r="H231" s="17">
        <v>0.63799926529809781</v>
      </c>
      <c r="I231" s="17">
        <v>0.36200073470190214</v>
      </c>
    </row>
    <row r="232" spans="1:9" x14ac:dyDescent="0.3">
      <c r="A232" s="16">
        <v>44012</v>
      </c>
      <c r="B232" s="11">
        <v>365373950.15393728</v>
      </c>
      <c r="C232" s="11">
        <v>219728818.91332716</v>
      </c>
      <c r="D232" s="15">
        <v>585102769.06726444</v>
      </c>
      <c r="E232" s="11">
        <v>97202.101181974911</v>
      </c>
      <c r="F232" s="11">
        <v>58455.461533616704</v>
      </c>
      <c r="G232" s="15">
        <v>155657.56271559163</v>
      </c>
      <c r="H232" s="17">
        <v>0.62446115361305576</v>
      </c>
      <c r="I232" s="17">
        <v>0.37553884638694429</v>
      </c>
    </row>
    <row r="233" spans="1:9" x14ac:dyDescent="0.3">
      <c r="A233" s="16">
        <v>44043</v>
      </c>
      <c r="B233" s="11">
        <v>370931558.44213754</v>
      </c>
      <c r="C233" s="11">
        <v>225351143.67614859</v>
      </c>
      <c r="D233" s="15">
        <v>596282702.11828613</v>
      </c>
      <c r="E233" s="11">
        <v>99193.087410886932</v>
      </c>
      <c r="F233" s="11">
        <v>60262.534109236447</v>
      </c>
      <c r="G233" s="15">
        <v>159455.62152012339</v>
      </c>
      <c r="H233" s="17">
        <v>0.62207331711016978</v>
      </c>
      <c r="I233" s="17">
        <v>0.37792668288983017</v>
      </c>
    </row>
    <row r="234" spans="1:9" x14ac:dyDescent="0.3">
      <c r="A234" s="16">
        <v>44074</v>
      </c>
      <c r="B234" s="11">
        <v>376384401.65238076</v>
      </c>
      <c r="C234" s="11">
        <v>228617387.38408232</v>
      </c>
      <c r="D234" s="15">
        <v>605001789.03646302</v>
      </c>
      <c r="E234" s="11">
        <v>100092.11878915981</v>
      </c>
      <c r="F234" s="11">
        <v>60796.352332498929</v>
      </c>
      <c r="G234" s="15">
        <v>160888.47112165875</v>
      </c>
      <c r="H234" s="17">
        <v>0.62212113827269422</v>
      </c>
      <c r="I234" s="17">
        <v>0.37787886172730595</v>
      </c>
    </row>
    <row r="235" spans="1:9" x14ac:dyDescent="0.3">
      <c r="A235" s="16">
        <v>44104</v>
      </c>
      <c r="B235" s="11">
        <v>381096820.58145112</v>
      </c>
      <c r="C235" s="11">
        <v>234887113.19756538</v>
      </c>
      <c r="D235" s="15">
        <v>615983933.77901649</v>
      </c>
      <c r="E235" s="11">
        <v>98247.670905312043</v>
      </c>
      <c r="F235" s="11">
        <v>60554.459001058378</v>
      </c>
      <c r="G235" s="15">
        <v>158802.12990637042</v>
      </c>
      <c r="H235" s="17">
        <v>0.61867980588949767</v>
      </c>
      <c r="I235" s="17">
        <v>0.38132019411050233</v>
      </c>
    </row>
    <row r="236" spans="1:9" x14ac:dyDescent="0.3">
      <c r="A236" s="16">
        <v>44135</v>
      </c>
      <c r="B236" s="11">
        <v>386180461.83327019</v>
      </c>
      <c r="C236" s="11">
        <v>233180526.37496686</v>
      </c>
      <c r="D236" s="15">
        <v>619360988.20823705</v>
      </c>
      <c r="E236" s="11">
        <v>100318.8601811832</v>
      </c>
      <c r="F236" s="11">
        <v>60573.765206393211</v>
      </c>
      <c r="G236" s="15">
        <v>160892.62538757641</v>
      </c>
      <c r="H236" s="17">
        <v>0.62351434653716264</v>
      </c>
      <c r="I236" s="17">
        <v>0.37648565346283741</v>
      </c>
    </row>
    <row r="237" spans="1:9" x14ac:dyDescent="0.3">
      <c r="A237" s="16">
        <v>44165</v>
      </c>
      <c r="B237" s="11">
        <v>392091792.56163651</v>
      </c>
      <c r="C237" s="11">
        <v>218991935.67227784</v>
      </c>
      <c r="D237" s="15">
        <v>611083728.23391438</v>
      </c>
      <c r="E237" s="11">
        <v>108569.37746761306</v>
      </c>
      <c r="F237" s="11">
        <v>60638.397889007661</v>
      </c>
      <c r="G237" s="15">
        <v>169207.77535662072</v>
      </c>
      <c r="H237" s="17">
        <v>0.64163350199949887</v>
      </c>
      <c r="I237" s="17">
        <v>0.35836649800050113</v>
      </c>
    </row>
    <row r="238" spans="1:9" x14ac:dyDescent="0.3">
      <c r="A238" s="16">
        <v>44196</v>
      </c>
      <c r="B238" s="11">
        <v>389845971.68554145</v>
      </c>
      <c r="C238" s="11">
        <v>229745919.54330418</v>
      </c>
      <c r="D238" s="15">
        <v>619591891.2288456</v>
      </c>
      <c r="E238" s="11">
        <v>113574.9371261592</v>
      </c>
      <c r="F238" s="11">
        <v>66932.533006060941</v>
      </c>
      <c r="G238" s="15">
        <v>180507.47013222013</v>
      </c>
      <c r="H238" s="17">
        <v>0.62919798855397269</v>
      </c>
      <c r="I238" s="17">
        <v>0.37080201144602742</v>
      </c>
    </row>
    <row r="239" spans="1:9" x14ac:dyDescent="0.3">
      <c r="A239" s="16">
        <v>44227</v>
      </c>
      <c r="B239" s="11">
        <v>388592268.10109806</v>
      </c>
      <c r="C239" s="11">
        <v>243591292.94700378</v>
      </c>
      <c r="D239" s="15">
        <v>632183561.0481019</v>
      </c>
      <c r="E239" s="11">
        <v>109171.69123999092</v>
      </c>
      <c r="F239" s="11">
        <v>68434.901065612139</v>
      </c>
      <c r="G239" s="15">
        <v>177606.59230560306</v>
      </c>
      <c r="H239" s="17">
        <v>0.61468265238793618</v>
      </c>
      <c r="I239" s="17">
        <v>0.38531734761206371</v>
      </c>
    </row>
    <row r="240" spans="1:9" x14ac:dyDescent="0.3">
      <c r="A240" s="16">
        <v>44255</v>
      </c>
      <c r="B240" s="11">
        <v>395169322.78702408</v>
      </c>
      <c r="C240" s="11">
        <v>245304678.19802618</v>
      </c>
      <c r="D240" s="15">
        <v>640474000.9850502</v>
      </c>
      <c r="E240" s="11">
        <v>110129.31801668902</v>
      </c>
      <c r="F240" s="11">
        <v>68363.69970654785</v>
      </c>
      <c r="G240" s="15">
        <v>178493.01772323687</v>
      </c>
      <c r="H240" s="17">
        <v>0.61699510390625212</v>
      </c>
      <c r="I240" s="17">
        <v>0.38300489609374794</v>
      </c>
    </row>
    <row r="241" spans="1:10" x14ac:dyDescent="0.3">
      <c r="A241" s="16">
        <v>44286</v>
      </c>
      <c r="B241" s="11">
        <v>395354161.14001</v>
      </c>
      <c r="C241" s="11">
        <v>250140159.59358084</v>
      </c>
      <c r="D241" s="15">
        <v>645494320.73359084</v>
      </c>
      <c r="E241" s="11">
        <v>105797.07863984148</v>
      </c>
      <c r="F241" s="11">
        <v>66937.699755568334</v>
      </c>
      <c r="G241" s="15">
        <v>172734.77839540981</v>
      </c>
      <c r="H241" s="17">
        <v>0.61248278790539668</v>
      </c>
      <c r="I241" s="17">
        <v>0.38751721209460332</v>
      </c>
    </row>
    <row r="242" spans="1:10" x14ac:dyDescent="0.3">
      <c r="A242" s="16">
        <v>44316</v>
      </c>
      <c r="B242" s="11">
        <v>403017911.96624804</v>
      </c>
      <c r="C242" s="11">
        <v>258482085.82434815</v>
      </c>
      <c r="D242" s="15">
        <v>661499997.79059625</v>
      </c>
      <c r="E242" s="11">
        <v>108545.61055303228</v>
      </c>
      <c r="F242" s="11">
        <v>69617.490909870248</v>
      </c>
      <c r="G242" s="15">
        <v>178163.10146290253</v>
      </c>
      <c r="H242" s="17">
        <v>0.60924854620154811</v>
      </c>
      <c r="I242" s="17">
        <v>0.39075145379845183</v>
      </c>
      <c r="J242" s="18"/>
    </row>
    <row r="243" spans="1:10" x14ac:dyDescent="0.3">
      <c r="A243" s="16">
        <v>44347</v>
      </c>
      <c r="B243" s="11">
        <v>410119718.45473051</v>
      </c>
      <c r="C243" s="11">
        <v>258375728.10373014</v>
      </c>
      <c r="D243" s="15">
        <v>668495446.55846071</v>
      </c>
      <c r="E243" s="11">
        <v>110387.29744588039</v>
      </c>
      <c r="F243" s="11">
        <v>69544.079612769463</v>
      </c>
      <c r="G243" s="15">
        <v>179931.37705864984</v>
      </c>
      <c r="H243" s="17">
        <v>0.61349665217033766</v>
      </c>
      <c r="I243" s="17">
        <v>0.38650334782966228</v>
      </c>
    </row>
    <row r="244" spans="1:10" x14ac:dyDescent="0.3">
      <c r="A244" s="16">
        <v>44377</v>
      </c>
      <c r="B244" s="11">
        <v>413470961.50356305</v>
      </c>
      <c r="C244" s="11">
        <v>262777531.42584035</v>
      </c>
      <c r="D244" s="15">
        <v>676248492.92940342</v>
      </c>
      <c r="E244" s="11">
        <v>110063.15739832433</v>
      </c>
      <c r="F244" s="11">
        <v>69949.591373700736</v>
      </c>
      <c r="G244" s="15">
        <v>180012.74877202505</v>
      </c>
      <c r="H244" s="17">
        <v>0.61141868089416518</v>
      </c>
      <c r="I244" s="17">
        <v>0.38858131910583477</v>
      </c>
    </row>
    <row r="245" spans="1:10" x14ac:dyDescent="0.3">
      <c r="A245" s="16">
        <v>44408</v>
      </c>
      <c r="B245" s="11">
        <v>422013042.97502315</v>
      </c>
      <c r="C245" s="11">
        <v>268563420.63419247</v>
      </c>
      <c r="D245" s="15">
        <v>690576463.60921562</v>
      </c>
      <c r="E245" s="11">
        <v>109986.58908117728</v>
      </c>
      <c r="F245" s="11">
        <v>69993.984970925463</v>
      </c>
      <c r="G245" s="15">
        <v>179980.57405210275</v>
      </c>
      <c r="H245" s="17">
        <v>0.61110255737564856</v>
      </c>
      <c r="I245" s="17">
        <v>0.38889744262435144</v>
      </c>
    </row>
    <row r="246" spans="1:10" x14ac:dyDescent="0.3">
      <c r="A246" s="16">
        <v>44439</v>
      </c>
      <c r="B246" s="11">
        <v>415886465.23872101</v>
      </c>
      <c r="C246" s="11">
        <v>265529619.1486201</v>
      </c>
      <c r="D246" s="15">
        <v>681416084.38734066</v>
      </c>
      <c r="E246" s="11">
        <v>109246.30082947949</v>
      </c>
      <c r="F246" s="11">
        <v>69750.114700165781</v>
      </c>
      <c r="G246" s="15">
        <v>178996.41552964528</v>
      </c>
      <c r="H246" s="17">
        <v>0.61032675155098948</v>
      </c>
      <c r="I246" s="17">
        <v>0.38967324844901047</v>
      </c>
    </row>
    <row r="247" spans="1:10" x14ac:dyDescent="0.3">
      <c r="A247" s="16">
        <v>44469</v>
      </c>
      <c r="B247" s="11">
        <v>427554297.34803301</v>
      </c>
      <c r="C247" s="11">
        <v>267862234.31793031</v>
      </c>
      <c r="D247" s="15">
        <v>695416531.66596293</v>
      </c>
      <c r="E247" s="11">
        <v>111496.73436845645</v>
      </c>
      <c r="F247" s="11">
        <v>69852.565094852849</v>
      </c>
      <c r="G247" s="15">
        <v>181349.29946330929</v>
      </c>
      <c r="H247" s="17">
        <v>0.61481756311396474</v>
      </c>
      <c r="I247" s="17">
        <v>0.38518243688603526</v>
      </c>
    </row>
    <row r="248" spans="1:10" x14ac:dyDescent="0.3">
      <c r="A248" s="16">
        <v>44500</v>
      </c>
      <c r="B248" s="11">
        <v>426842206.87081403</v>
      </c>
      <c r="C248" s="11">
        <v>268726974.82190108</v>
      </c>
      <c r="D248" s="15">
        <v>695569181.69271553</v>
      </c>
      <c r="E248" s="11">
        <v>113337.9907253696</v>
      </c>
      <c r="F248" s="11">
        <v>71354.179342529693</v>
      </c>
      <c r="G248" s="15">
        <v>184692.17006789928</v>
      </c>
      <c r="H248" s="17">
        <v>0.6136588826895184</v>
      </c>
      <c r="I248" s="17">
        <v>0.3863411173104816</v>
      </c>
    </row>
    <row r="249" spans="1:10" x14ac:dyDescent="0.3">
      <c r="A249" s="16">
        <v>44530</v>
      </c>
      <c r="B249" s="11">
        <v>433553899.9596113</v>
      </c>
      <c r="C249" s="11">
        <v>287923158.82022101</v>
      </c>
      <c r="D249" s="15">
        <v>721477058.77983189</v>
      </c>
      <c r="E249" s="11">
        <v>108091.76310019279</v>
      </c>
      <c r="F249" s="11">
        <v>71783.743329615332</v>
      </c>
      <c r="G249" s="15">
        <v>178436.36698497267</v>
      </c>
      <c r="H249" s="17">
        <v>0.6009254136130695</v>
      </c>
      <c r="I249" s="17">
        <v>0.39907458638693</v>
      </c>
    </row>
    <row r="250" spans="1:10" x14ac:dyDescent="0.3">
      <c r="A250" s="16">
        <v>44561</v>
      </c>
      <c r="B250" s="11">
        <v>431911976.93860102</v>
      </c>
      <c r="C250" s="11">
        <v>292406808.27735585</v>
      </c>
      <c r="D250" s="15">
        <v>724318785.21595645</v>
      </c>
      <c r="E250" s="11">
        <v>108488.97731781706</v>
      </c>
      <c r="F250" s="11">
        <v>73447.640455886183</v>
      </c>
      <c r="G250" s="15">
        <v>181936.61777370324</v>
      </c>
      <c r="H250" s="17">
        <v>0.59630094615014784</v>
      </c>
      <c r="I250" s="17">
        <v>0.40369905384985211</v>
      </c>
    </row>
    <row r="251" spans="1:10" x14ac:dyDescent="0.3">
      <c r="A251" s="16">
        <v>44592</v>
      </c>
      <c r="B251" s="11">
        <v>440175508.74623466</v>
      </c>
      <c r="C251" s="11">
        <v>291162922.51927221</v>
      </c>
      <c r="D251" s="15">
        <v>731338431.26550686</v>
      </c>
      <c r="E251" s="11">
        <v>110524.65945518874</v>
      </c>
      <c r="F251" s="11">
        <v>73108.753708449804</v>
      </c>
      <c r="G251" s="15">
        <v>183633.41316363856</v>
      </c>
      <c r="H251" s="17">
        <v>0.60187662773930206</v>
      </c>
      <c r="I251" s="17">
        <v>0.39812337226069788</v>
      </c>
    </row>
    <row r="252" spans="1:10" x14ac:dyDescent="0.3">
      <c r="A252" s="16">
        <v>44620</v>
      </c>
      <c r="B252" s="11">
        <v>448526863.43583083</v>
      </c>
      <c r="C252" s="11">
        <v>286686755.37254226</v>
      </c>
      <c r="D252" s="15">
        <v>735213618.80837309</v>
      </c>
      <c r="E252" s="11">
        <v>114693.97935781121</v>
      </c>
      <c r="F252" s="11">
        <v>73309.421315319807</v>
      </c>
      <c r="G252" s="15">
        <v>188003.40067313102</v>
      </c>
      <c r="H252" s="17">
        <v>0.61006332304181021</v>
      </c>
      <c r="I252" s="17">
        <v>0.38993667695818979</v>
      </c>
    </row>
    <row r="253" spans="1:10" x14ac:dyDescent="0.3">
      <c r="A253" s="16">
        <v>44651</v>
      </c>
      <c r="B253" s="11">
        <v>453346850.54077697</v>
      </c>
      <c r="C253" s="11">
        <v>274339150.04320383</v>
      </c>
      <c r="D253" s="15">
        <v>727686000.5839808</v>
      </c>
      <c r="E253" s="11">
        <v>120952.16321139148</v>
      </c>
      <c r="F253" s="11">
        <v>73193.215331084357</v>
      </c>
      <c r="G253" s="15">
        <v>194145.37854247584</v>
      </c>
      <c r="H253" s="17">
        <v>0.62299790043639447</v>
      </c>
      <c r="I253" s="17">
        <v>0.37700209956360553</v>
      </c>
    </row>
    <row r="254" spans="1:10" x14ac:dyDescent="0.3">
      <c r="A254" s="16">
        <v>44681</v>
      </c>
      <c r="B254" s="11">
        <v>459674204.29042268</v>
      </c>
      <c r="C254" s="11">
        <v>287640476.37953138</v>
      </c>
      <c r="D254" s="15">
        <v>747314680.66995406</v>
      </c>
      <c r="E254" s="11">
        <v>115895.84276673617</v>
      </c>
      <c r="F254" s="11">
        <v>72521.657975763475</v>
      </c>
      <c r="G254" s="15">
        <v>188417.50074249966</v>
      </c>
      <c r="H254" s="17">
        <v>0.61510126347087557</v>
      </c>
      <c r="I254" s="17">
        <v>0.38489873652912437</v>
      </c>
    </row>
    <row r="255" spans="1:10" x14ac:dyDescent="0.3">
      <c r="A255" s="16">
        <v>44712</v>
      </c>
      <c r="B255" s="11">
        <v>466798478.74760485</v>
      </c>
      <c r="C255" s="11">
        <v>286605667.35830963</v>
      </c>
      <c r="D255" s="15">
        <v>753404146.10591447</v>
      </c>
      <c r="E255" s="11">
        <v>119314.39464555863</v>
      </c>
      <c r="F255" s="11">
        <v>73256.840499115526</v>
      </c>
      <c r="G255" s="15">
        <v>192571.23514467414</v>
      </c>
      <c r="H255" s="17">
        <v>0.61958575773749691</v>
      </c>
      <c r="I255" s="17">
        <v>0.38041424226250314</v>
      </c>
    </row>
    <row r="256" spans="1:10" x14ac:dyDescent="0.3">
      <c r="A256" s="16">
        <v>44742</v>
      </c>
      <c r="B256" s="11">
        <v>461856533.52132499</v>
      </c>
      <c r="C256" s="11">
        <v>302011059.22085047</v>
      </c>
      <c r="D256" s="15">
        <v>763867592.74217546</v>
      </c>
      <c r="E256" s="11">
        <v>111898.21695162532</v>
      </c>
      <c r="F256" s="11">
        <v>73170.988334464084</v>
      </c>
      <c r="G256" s="15">
        <v>185069.20528608939</v>
      </c>
      <c r="H256" s="17">
        <v>0.60462904554351637</v>
      </c>
      <c r="I256" s="17">
        <v>0.39537095445648368</v>
      </c>
    </row>
    <row r="257" spans="1:9" x14ac:dyDescent="0.3">
      <c r="A257" s="16">
        <v>44773</v>
      </c>
      <c r="B257" s="11">
        <v>474058189.90676332</v>
      </c>
      <c r="C257" s="11">
        <v>315095026.24864733</v>
      </c>
      <c r="D257" s="15">
        <v>789153216.15541065</v>
      </c>
      <c r="E257" s="11">
        <v>110238.39962485485</v>
      </c>
      <c r="F257" s="11">
        <v>73272.801025195295</v>
      </c>
      <c r="G257" s="15">
        <v>183511.20065005013</v>
      </c>
      <c r="H257" s="17">
        <v>0.6007175542111779</v>
      </c>
      <c r="I257" s="17">
        <v>0.39928244578882205</v>
      </c>
    </row>
    <row r="258" spans="1:9" x14ac:dyDescent="0.3">
      <c r="A258" s="16">
        <v>44804</v>
      </c>
      <c r="B258" s="11">
        <v>481587686.70462078</v>
      </c>
      <c r="C258" s="11">
        <v>323383804.6962167</v>
      </c>
      <c r="D258" s="15">
        <v>804971491.40083742</v>
      </c>
      <c r="E258" s="11">
        <v>109447.76705952075</v>
      </c>
      <c r="F258" s="11">
        <v>73493.646752894609</v>
      </c>
      <c r="G258" s="15">
        <v>182941.41381241533</v>
      </c>
      <c r="H258" s="17">
        <v>0.59826676080980989</v>
      </c>
      <c r="I258" s="17">
        <v>0.40173323919019016</v>
      </c>
    </row>
    <row r="259" spans="1:9" x14ac:dyDescent="0.3">
      <c r="A259" s="16">
        <v>44834</v>
      </c>
      <c r="B259" s="11">
        <v>488647776.67771971</v>
      </c>
      <c r="C259" s="11">
        <v>332477514.83813965</v>
      </c>
      <c r="D259" s="15">
        <v>821125291.51585937</v>
      </c>
      <c r="E259" s="11">
        <v>107819.99763413181</v>
      </c>
      <c r="F259" s="11">
        <v>73361.07227782</v>
      </c>
      <c r="G259" s="15">
        <v>181181.06991195181</v>
      </c>
      <c r="H259" s="17">
        <v>0.59509526953632008</v>
      </c>
      <c r="I259" s="17">
        <v>0.40490473046367992</v>
      </c>
    </row>
    <row r="260" spans="1:9" x14ac:dyDescent="0.3">
      <c r="A260" s="16">
        <v>44865</v>
      </c>
      <c r="B260" s="11">
        <v>495855480.24192357</v>
      </c>
      <c r="C260" s="11">
        <v>353038059.90845466</v>
      </c>
      <c r="D260" s="15">
        <v>848893540.15037823</v>
      </c>
      <c r="E260" s="11">
        <v>102886.96155178912</v>
      </c>
      <c r="F260" s="11">
        <v>73253.225472869075</v>
      </c>
      <c r="G260" s="15">
        <v>176140.1870246582</v>
      </c>
      <c r="H260" s="17">
        <v>0.58411974739975603</v>
      </c>
      <c r="I260" s="17">
        <v>0.41588025260024397</v>
      </c>
    </row>
    <row r="261" spans="1:9" x14ac:dyDescent="0.3">
      <c r="A261" s="16">
        <v>44895</v>
      </c>
      <c r="B261" s="11">
        <v>497659565.62253475</v>
      </c>
      <c r="C261" s="11">
        <v>355095948.26274663</v>
      </c>
      <c r="D261" s="15">
        <v>852755513.88528132</v>
      </c>
      <c r="E261" s="11">
        <v>103474.06817379208</v>
      </c>
      <c r="F261" s="11">
        <v>73832.042819901952</v>
      </c>
      <c r="G261" s="15">
        <v>177306.11099369402</v>
      </c>
      <c r="H261" s="17">
        <v>0.583589971004847</v>
      </c>
      <c r="I261" s="17">
        <v>0.41641002899515306</v>
      </c>
    </row>
    <row r="262" spans="1:9" x14ac:dyDescent="0.3">
      <c r="A262" s="16">
        <v>44926</v>
      </c>
      <c r="B262" s="11">
        <v>507274402.14266479</v>
      </c>
      <c r="C262" s="11">
        <v>365470273.52265549</v>
      </c>
      <c r="D262" s="15">
        <v>872744675.66532028</v>
      </c>
      <c r="E262" s="11">
        <v>105458.06871703148</v>
      </c>
      <c r="F262" s="11">
        <v>75978.186670544994</v>
      </c>
      <c r="G262" s="15">
        <v>181436.25538757647</v>
      </c>
      <c r="H262" s="17">
        <v>0.58124032868599718</v>
      </c>
      <c r="I262" s="17">
        <v>0.41875967131400277</v>
      </c>
    </row>
    <row r="263" spans="1:9" x14ac:dyDescent="0.3">
      <c r="A263" s="16">
        <v>44957</v>
      </c>
      <c r="B263" s="11">
        <v>513946359.97277296</v>
      </c>
      <c r="C263" s="11">
        <v>353018742.60555553</v>
      </c>
      <c r="D263" s="15">
        <v>866965102.57832849</v>
      </c>
      <c r="E263" s="11">
        <v>110950.81386226263</v>
      </c>
      <c r="F263" s="11">
        <v>76209.736756952538</v>
      </c>
      <c r="G263" s="15">
        <v>187160.55061921518</v>
      </c>
      <c r="H263" s="17">
        <v>0.59281089682192711</v>
      </c>
      <c r="I263" s="17">
        <v>0.40718910317807289</v>
      </c>
    </row>
    <row r="264" spans="1:9" x14ac:dyDescent="0.3">
      <c r="A264" s="16">
        <v>44985</v>
      </c>
      <c r="B264" s="11">
        <v>509550491.8739261</v>
      </c>
      <c r="C264" s="11">
        <v>373852531.2773602</v>
      </c>
      <c r="D264" s="15">
        <v>883403023.15128636</v>
      </c>
      <c r="E264" s="11">
        <v>105976.63376564036</v>
      </c>
      <c r="F264" s="11">
        <v>77754.08604519839</v>
      </c>
      <c r="G264" s="15">
        <v>183730.71981083875</v>
      </c>
      <c r="H264" s="17">
        <v>0.57680410698194262</v>
      </c>
      <c r="I264" s="17">
        <v>0.42319589301805732</v>
      </c>
    </row>
    <row r="265" spans="1:9" x14ac:dyDescent="0.3">
      <c r="A265" s="16">
        <v>45016</v>
      </c>
      <c r="B265" s="11">
        <v>521861539.49655038</v>
      </c>
      <c r="C265" s="11">
        <v>356328664.45581001</v>
      </c>
      <c r="D265" s="15">
        <v>878190203.95236039</v>
      </c>
      <c r="E265" s="11">
        <v>112779.5740245437</v>
      </c>
      <c r="F265" s="11">
        <v>77006.240062890211</v>
      </c>
      <c r="G265" s="15">
        <v>189785.81408743392</v>
      </c>
      <c r="H265" s="17">
        <v>0.59424659617913489</v>
      </c>
      <c r="I265" s="17">
        <v>0.40575340382086517</v>
      </c>
    </row>
    <row r="266" spans="1:9" x14ac:dyDescent="0.3">
      <c r="A266" s="16">
        <v>45046</v>
      </c>
      <c r="B266" s="11">
        <v>531976745.40691918</v>
      </c>
      <c r="C266" s="11">
        <v>359125228.88659579</v>
      </c>
      <c r="D266" s="15">
        <v>891101974.29351497</v>
      </c>
      <c r="E266" s="11">
        <v>113938.04784898675</v>
      </c>
      <c r="F266" s="11">
        <v>76916.947716126742</v>
      </c>
      <c r="G266" s="15">
        <v>190854.9955651135</v>
      </c>
      <c r="H266" s="17">
        <v>0.59698750620396945</v>
      </c>
      <c r="I266" s="17">
        <v>0.40301249379603055</v>
      </c>
    </row>
    <row r="267" spans="1:9" x14ac:dyDescent="0.3">
      <c r="A267" s="16">
        <v>45077</v>
      </c>
      <c r="B267" s="11">
        <v>538927392.14540863</v>
      </c>
      <c r="C267" s="11">
        <v>337385404.89654762</v>
      </c>
      <c r="D267" s="15">
        <v>876312797.04195619</v>
      </c>
      <c r="E267" s="11">
        <v>122243.17923750097</v>
      </c>
      <c r="F267" s="11">
        <v>76528.053915948796</v>
      </c>
      <c r="G267" s="15">
        <v>198771.23315344975</v>
      </c>
      <c r="H267" s="17">
        <v>0.61499431933961113</v>
      </c>
      <c r="I267" s="17">
        <v>0.38500568066038893</v>
      </c>
    </row>
    <row r="268" spans="1:9" x14ac:dyDescent="0.3">
      <c r="A268" s="16">
        <v>45107</v>
      </c>
      <c r="B268" s="11">
        <v>541204033.16541708</v>
      </c>
      <c r="C268" s="11">
        <v>321268837.82510805</v>
      </c>
      <c r="D268" s="15">
        <v>862472870.99052513</v>
      </c>
      <c r="E268" s="11">
        <v>129126.19370822687</v>
      </c>
      <c r="F268" s="11">
        <v>76651.724013930841</v>
      </c>
      <c r="G268" s="15">
        <v>205777.91772215773</v>
      </c>
      <c r="H268" s="17">
        <v>0.62750267442483132</v>
      </c>
      <c r="I268" s="17">
        <v>0.37249732557516863</v>
      </c>
    </row>
    <row r="269" spans="1:9" x14ac:dyDescent="0.3">
      <c r="A269" s="16">
        <v>45138</v>
      </c>
      <c r="B269" s="11">
        <v>546003327.01656282</v>
      </c>
      <c r="C269" s="11">
        <v>301673923.92289931</v>
      </c>
      <c r="D269" s="15">
        <v>847677250.93946218</v>
      </c>
      <c r="E269" s="11">
        <v>139162.66564119264</v>
      </c>
      <c r="F269" s="11">
        <v>76889.178747212136</v>
      </c>
      <c r="G269" s="15">
        <v>216051.84438840477</v>
      </c>
      <c r="H269" s="17">
        <v>0.64411699902461605</v>
      </c>
      <c r="I269" s="17">
        <v>0.35588300097538383</v>
      </c>
    </row>
    <row r="270" spans="1:9" x14ac:dyDescent="0.3">
      <c r="A270" s="16">
        <v>45169</v>
      </c>
      <c r="B270" s="11">
        <v>552383203.63442993</v>
      </c>
      <c r="C270" s="11">
        <v>312827193.05105203</v>
      </c>
      <c r="D270" s="15">
        <v>865210396.68548203</v>
      </c>
      <c r="E270" s="11">
        <v>135211.40364044765</v>
      </c>
      <c r="F270" s="11">
        <v>76573.298375174592</v>
      </c>
      <c r="G270" s="15">
        <v>211784.70201562226</v>
      </c>
      <c r="H270" s="17">
        <v>0.63843800970324005</v>
      </c>
      <c r="I270" s="17">
        <v>0.36156199029675989</v>
      </c>
    </row>
    <row r="271" spans="1:9" x14ac:dyDescent="0.3">
      <c r="A271" s="16">
        <v>45199</v>
      </c>
      <c r="B271" s="11">
        <v>549730139.95509291</v>
      </c>
      <c r="C271" s="11">
        <v>312338043.02851456</v>
      </c>
      <c r="D271" s="15">
        <v>862068182.98360753</v>
      </c>
      <c r="E271" s="11">
        <v>135609.9374297178</v>
      </c>
      <c r="F271" s="11">
        <v>77048.972565843695</v>
      </c>
      <c r="G271" s="15">
        <v>212658.90999556152</v>
      </c>
      <c r="H271" s="17">
        <v>0.63768754120176852</v>
      </c>
      <c r="I271" s="17">
        <v>0.36231245879823148</v>
      </c>
    </row>
    <row r="272" spans="1:9" x14ac:dyDescent="0.3">
      <c r="A272" s="16">
        <v>45230</v>
      </c>
      <c r="B272" s="11">
        <v>562865139.26452851</v>
      </c>
      <c r="C272" s="11">
        <v>309430485.88152635</v>
      </c>
      <c r="D272" s="15">
        <v>872295625.14605486</v>
      </c>
      <c r="E272" s="11">
        <v>138608.39760948587</v>
      </c>
      <c r="F272" s="11">
        <v>76198.827796663827</v>
      </c>
      <c r="G272" s="15">
        <v>214807.22540614969</v>
      </c>
      <c r="H272" s="17">
        <v>0.64526878622173978</v>
      </c>
      <c r="I272" s="17">
        <v>0.35473121377826022</v>
      </c>
    </row>
    <row r="273" spans="1:9" x14ac:dyDescent="0.3">
      <c r="A273" s="16">
        <v>45260</v>
      </c>
      <c r="B273" s="11">
        <v>566145930.1444118</v>
      </c>
      <c r="C273" s="11">
        <v>315853047.89682388</v>
      </c>
      <c r="D273" s="15">
        <v>881998978.04123569</v>
      </c>
      <c r="E273" s="11">
        <v>142223.77894786853</v>
      </c>
      <c r="F273" s="11">
        <v>79346.70492575971</v>
      </c>
      <c r="G273" s="15">
        <v>221570.48387362823</v>
      </c>
      <c r="H273" s="17">
        <v>0.64188955343431597</v>
      </c>
      <c r="I273" s="17">
        <v>0.35811044656568408</v>
      </c>
    </row>
    <row r="274" spans="1:9" x14ac:dyDescent="0.3">
      <c r="A274" s="16">
        <v>45291</v>
      </c>
      <c r="B274" s="11">
        <v>559325607.31749594</v>
      </c>
      <c r="C274" s="11">
        <v>306707695.71847492</v>
      </c>
      <c r="D274" s="15">
        <v>866033303.03597093</v>
      </c>
      <c r="E274" s="11">
        <v>146341.78184939924</v>
      </c>
      <c r="F274" s="11">
        <v>80246.908260874377</v>
      </c>
      <c r="G274" s="15">
        <v>226412.08334165468</v>
      </c>
      <c r="H274" s="17">
        <v>0.64584768894766664</v>
      </c>
      <c r="I274" s="17">
        <v>0.35442855821339803</v>
      </c>
    </row>
    <row r="275" spans="1:9" x14ac:dyDescent="0.3">
      <c r="A275" s="16">
        <v>45322</v>
      </c>
      <c r="B275" s="11">
        <v>563415269.835742</v>
      </c>
      <c r="C275" s="11">
        <v>314575667.39401472</v>
      </c>
      <c r="D275" s="15">
        <v>877971326.7847569</v>
      </c>
      <c r="E275" s="11">
        <v>143518.3562743892</v>
      </c>
      <c r="F275" s="11">
        <v>80134.417004792835</v>
      </c>
      <c r="G275" s="15">
        <v>223652.773279182</v>
      </c>
      <c r="H275" s="17">
        <v>0.64170166177746257</v>
      </c>
      <c r="I275" s="17">
        <v>0.35829833822253737</v>
      </c>
    </row>
    <row r="276" spans="1:9" x14ac:dyDescent="0.3">
      <c r="A276" s="16">
        <v>45350</v>
      </c>
      <c r="B276" s="11">
        <v>577611443.33286178</v>
      </c>
      <c r="C276" s="11">
        <v>314755135.65642297</v>
      </c>
      <c r="D276" s="15">
        <v>892366578.98928475</v>
      </c>
      <c r="E276" s="11">
        <v>146841.90487315861</v>
      </c>
      <c r="F276" s="11">
        <v>80017.880916122536</v>
      </c>
      <c r="G276" s="15">
        <v>226859.78578928116</v>
      </c>
      <c r="H276" s="17">
        <v>0.64728045282363444</v>
      </c>
      <c r="I276" s="17">
        <v>0.35271954717636556</v>
      </c>
    </row>
    <row r="277" spans="1:9" x14ac:dyDescent="0.3">
      <c r="A277" s="16">
        <v>45382</v>
      </c>
      <c r="B277" s="11">
        <v>580752455.69863665</v>
      </c>
      <c r="C277" s="11">
        <v>306729066.39501399</v>
      </c>
      <c r="D277" s="15">
        <v>887481522.09365058</v>
      </c>
      <c r="E277" s="11">
        <v>151147.08786368492</v>
      </c>
      <c r="F277" s="11">
        <v>79829.546468264831</v>
      </c>
      <c r="G277" s="15">
        <v>230976.63433194975</v>
      </c>
      <c r="H277" s="17">
        <v>0.6543825885282526</v>
      </c>
      <c r="I277" s="17">
        <v>0.34561741147174746</v>
      </c>
    </row>
    <row r="278" spans="1:9" x14ac:dyDescent="0.3">
      <c r="A278" s="16">
        <v>45412</v>
      </c>
      <c r="B278" s="11">
        <v>594626557.41270292</v>
      </c>
      <c r="C278" s="11">
        <v>313571353.82684374</v>
      </c>
      <c r="D278" s="15">
        <v>908197911.23954666</v>
      </c>
      <c r="E278" s="11">
        <v>153513.81647812878</v>
      </c>
      <c r="F278" s="11">
        <v>80954.23028804014</v>
      </c>
      <c r="G278" s="15">
        <v>234468.04676616893</v>
      </c>
      <c r="H278" s="17">
        <v>0.6547323551990244</v>
      </c>
      <c r="I278" s="17">
        <v>0.34526764480097555</v>
      </c>
    </row>
    <row r="279" spans="1:9" x14ac:dyDescent="0.3">
      <c r="A279" s="16">
        <v>45443</v>
      </c>
      <c r="B279" s="11">
        <v>603935972.80373967</v>
      </c>
      <c r="C279" s="11">
        <v>309472104.12425333</v>
      </c>
      <c r="D279" s="15">
        <v>913408076.92799306</v>
      </c>
      <c r="E279" s="11">
        <v>155881.79933607436</v>
      </c>
      <c r="F279" s="11">
        <v>79877.786069362701</v>
      </c>
      <c r="G279" s="15">
        <v>235759.5854054371</v>
      </c>
      <c r="H279" s="17">
        <v>0.6611896566920219</v>
      </c>
      <c r="I279" s="17">
        <v>0.33881034330797805</v>
      </c>
    </row>
    <row r="280" spans="1:9" x14ac:dyDescent="0.3">
      <c r="A280" s="16">
        <v>45473</v>
      </c>
      <c r="B280" s="11">
        <v>617766092.97960186</v>
      </c>
      <c r="C280" s="11">
        <v>330250843.96358514</v>
      </c>
      <c r="D280" s="15">
        <v>948016936.943187</v>
      </c>
      <c r="E280" s="11">
        <v>148929.63736598534</v>
      </c>
      <c r="F280" s="11">
        <v>79616.118447166649</v>
      </c>
      <c r="G280" s="15">
        <v>228545.75581315201</v>
      </c>
      <c r="H280" s="17">
        <v>0.65164035462440639</v>
      </c>
      <c r="I280" s="17">
        <v>0.34835964537559366</v>
      </c>
    </row>
  </sheetData>
  <pageMargins left="0.23622047244094491" right="0.23622047244094491" top="0.74803149606299213" bottom="0.74803149606299213" header="0.31496062992125984" footer="0.31496062992125984"/>
  <pageSetup fitToHeight="999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Saldos</vt:lpstr>
      <vt:lpstr>Saldos!Área_de_impresión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Mesa Capera</dc:creator>
  <cp:lastModifiedBy>Laura Mesa Capera</cp:lastModifiedBy>
  <dcterms:created xsi:type="dcterms:W3CDTF">2026-10-22T19:51:28Z</dcterms:created>
  <dcterms:modified xsi:type="dcterms:W3CDTF">2026-10-22T19:53:21Z</dcterms:modified>
</cp:coreProperties>
</file>